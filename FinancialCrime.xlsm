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emehg\Desktop\3MTT_Data_Analysis\FinancialCrime\"/>
    </mc:Choice>
  </mc:AlternateContent>
  <xr:revisionPtr revIDLastSave="0" documentId="13_ncr:1_{039129DB-7FB7-4DB1-BEAF-21DB75E7C931}" xr6:coauthVersionLast="47" xr6:coauthVersionMax="47" xr10:uidLastSave="{00000000-0000-0000-0000-000000000000}"/>
  <bookViews>
    <workbookView xWindow="-110" yWindow="-110" windowWidth="19420" windowHeight="10300" firstSheet="3" activeTab="4" xr2:uid="{6E748ADF-5F28-4083-AE27-E69C380450EF}"/>
  </bookViews>
  <sheets>
    <sheet name="TransferForm" sheetId="1" r:id="rId1"/>
    <sheet name="Transactions" sheetId="2" r:id="rId2"/>
    <sheet name="FraudAlerts" sheetId="6" r:id="rId3"/>
    <sheet name="Crime_Detection Analysis" sheetId="8" r:id="rId4"/>
    <sheet name="Crime_Detection Dashboard" sheetId="12" r:id="rId5"/>
    <sheet name="Crime_Detection Dashboard2" sheetId="13" r:id="rId6"/>
  </sheets>
  <definedNames>
    <definedName name="ExternalData_1" localSheetId="2" hidden="1">FraudAlerts!$A$1:$K$9</definedName>
    <definedName name="ExternalData_1" localSheetId="1" hidden="1">Transactions!$A$1:$K$13</definedName>
    <definedName name="Slicer_Location">#N/A</definedName>
  </definedNames>
  <calcPr calcId="191029"/>
  <pivotCaches>
    <pivotCache cacheId="0" r:id="rId7"/>
    <pivotCache cacheId="1" r:id="rId8"/>
    <pivotCache cacheId="2"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 i="8" l="1"/>
  <c r="J2" i="8"/>
  <c r="H2"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C68ADB7-4597-45AF-9840-FA118BB536B1}" keepAlive="1" interval="1" name="Query - FraudAlerts" description="Connection to the 'FraudAlerts' query in the workbook." type="5" refreshedVersion="7" background="1" refreshOnLoad="1" saveData="1">
    <dbPr connection="Provider=Microsoft.Mashup.OleDb.1;Data Source=$Workbook$;Location=FraudAlerts;Extended Properties=&quot;&quot;" command="SELECT * FROM [FraudAlerts]"/>
  </connection>
  <connection id="2" xr16:uid="{A1285F65-D72A-4417-B6BC-8547A681876A}" keepAlive="1" interval="1" name="Query - Transactions" description="Connection to the 'Transactions' query in the workbook." type="5" refreshedVersion="7" background="1" refreshOnLoad="1" saveData="1">
    <dbPr connection="Provider=Microsoft.Mashup.OleDb.1;Data Source=$Workbook$;Location=Transactions;Extended Properties=&quot;&quot;" command="SELECT * FROM [Transactions]"/>
  </connection>
  <connection id="3" xr16:uid="{48F72124-CF00-4FFE-8FCB-8B6973DFE359}" keepAlive="1" interval="1" name="Query - Transactions (2)" description="Connection to the 'Transactions (2)' query in the workbook." type="5" refreshedVersion="7" background="1" refreshOnLoad="1" saveData="1">
    <dbPr connection="Provider=Microsoft.Mashup.OleDb.1;Data Source=$Workbook$;Location=&quot;Transactions (2)&quot;;Extended Properties=&quot;&quot;" command="SELECT * FROM [Transactions (2)]"/>
  </connection>
</connections>
</file>

<file path=xl/sharedStrings.xml><?xml version="1.0" encoding="utf-8"?>
<sst xmlns="http://schemas.openxmlformats.org/spreadsheetml/2006/main" count="207" uniqueCount="84">
  <si>
    <t>Sender Name</t>
  </si>
  <si>
    <t>Reciever Name</t>
  </si>
  <si>
    <t>Amount</t>
  </si>
  <si>
    <t>Location</t>
  </si>
  <si>
    <t>Device</t>
  </si>
  <si>
    <t>Id</t>
  </si>
  <si>
    <t>Sender</t>
  </si>
  <si>
    <t>Receiver</t>
  </si>
  <si>
    <t>Time</t>
  </si>
  <si>
    <t>IsFraud</t>
  </si>
  <si>
    <t>FraudScore</t>
  </si>
  <si>
    <t>Emeh Glory Chiamaka</t>
  </si>
  <si>
    <t>Reason</t>
  </si>
  <si>
    <t>E_FraudSim_App</t>
  </si>
  <si>
    <t>AlertId</t>
  </si>
  <si>
    <t>Unusual transaction amount</t>
  </si>
  <si>
    <t>Recieving Bank</t>
  </si>
  <si>
    <t>Account No</t>
  </si>
  <si>
    <t>Bank</t>
  </si>
  <si>
    <t>AccountNumber</t>
  </si>
  <si>
    <t>Enugu</t>
  </si>
  <si>
    <t>Emeh_GLory_C</t>
  </si>
  <si>
    <t>Offioni Ogbuka</t>
  </si>
  <si>
    <t>Polaris Bank</t>
  </si>
  <si>
    <t>13324546</t>
  </si>
  <si>
    <t>Abuja</t>
  </si>
  <si>
    <t>Odorotoya Etim</t>
  </si>
  <si>
    <t>Etim Uduak</t>
  </si>
  <si>
    <t>First Bank</t>
  </si>
  <si>
    <t>12344235436</t>
  </si>
  <si>
    <t>Lagos</t>
  </si>
  <si>
    <t>Otubo Ifeoma</t>
  </si>
  <si>
    <t>Globulus</t>
  </si>
  <si>
    <t>123534525</t>
  </si>
  <si>
    <t>PH</t>
  </si>
  <si>
    <t>Idorenyin Uduak</t>
  </si>
  <si>
    <t>Globulus Bank</t>
  </si>
  <si>
    <t>245454657778</t>
  </si>
  <si>
    <t>Hassan Bashir</t>
  </si>
  <si>
    <t>Ogungbu Chikaodi</t>
  </si>
  <si>
    <t>Sterling Bank</t>
  </si>
  <si>
    <t>23435346</t>
  </si>
  <si>
    <t>Akaolisa Hearts</t>
  </si>
  <si>
    <t>KeyStone Bank</t>
  </si>
  <si>
    <t>6354686889</t>
  </si>
  <si>
    <t>Sum of FraudScore</t>
  </si>
  <si>
    <t>Grand Total</t>
  </si>
  <si>
    <t>Count of Receiver</t>
  </si>
  <si>
    <t>Fraud Score by Location</t>
  </si>
  <si>
    <t>Count of Reciever by Location</t>
  </si>
  <si>
    <t xml:space="preserve">Sum of Fraudscore by Sender </t>
  </si>
  <si>
    <t>Sum of Amount</t>
  </si>
  <si>
    <t>FALSE</t>
  </si>
  <si>
    <t>TRUE</t>
  </si>
  <si>
    <t>Count of Id</t>
  </si>
  <si>
    <t>Count of ID, Sum of Amount by Location</t>
  </si>
  <si>
    <t>Count of Reciever by IsFraud(+) and Location</t>
  </si>
  <si>
    <t>Average Fraudscore by Sender and Amount</t>
  </si>
  <si>
    <t>Enoch itibo</t>
  </si>
  <si>
    <t>Anaechi ibe</t>
  </si>
  <si>
    <t>stanbic ibtc</t>
  </si>
  <si>
    <t>456799009</t>
  </si>
  <si>
    <t xml:space="preserve"> </t>
  </si>
  <si>
    <t>TOTAL TRANSACTIONS</t>
  </si>
  <si>
    <t>Average FraudScore</t>
  </si>
  <si>
    <t>Total Fraud Amount</t>
  </si>
  <si>
    <t>Etiro folic</t>
  </si>
  <si>
    <t>Abia Data</t>
  </si>
  <si>
    <t>polaris</t>
  </si>
  <si>
    <t>244353456</t>
  </si>
  <si>
    <t>Udoka Edebe</t>
  </si>
  <si>
    <t>Keystone bank</t>
  </si>
  <si>
    <t>emehg</t>
  </si>
  <si>
    <t>24453654768</t>
  </si>
  <si>
    <t>Nwankudu Chibuzor</t>
  </si>
  <si>
    <t>Signature bank</t>
  </si>
  <si>
    <t>1234567890</t>
  </si>
  <si>
    <t>Ekeke Kenneth Uche</t>
  </si>
  <si>
    <t>GTB</t>
  </si>
  <si>
    <t>3454777314</t>
  </si>
  <si>
    <t>Dr. Bosun Tijani</t>
  </si>
  <si>
    <t>5227215776</t>
  </si>
  <si>
    <t>KPIs</t>
  </si>
  <si>
    <t>Fraud Amount by 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</si>
</sst>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sz val="8"/>
      <name val="Calibri"/>
      <family val="2"/>
      <scheme val="minor"/>
    </font>
    <font>
      <sz val="11"/>
      <color rgb="FF000000"/>
      <name val="Calibri"/>
      <family val="2"/>
    </font>
    <font>
      <b/>
      <sz val="22"/>
      <color theme="1"/>
      <name val="Calibri"/>
      <family val="2"/>
      <scheme val="minor"/>
    </font>
    <font>
      <sz val="26"/>
      <color theme="7" tint="0.59999389629810485"/>
      <name val="Calibri"/>
      <family val="2"/>
      <scheme val="minor"/>
    </font>
    <font>
      <b/>
      <sz val="12"/>
      <color theme="1"/>
      <name val="Calibri"/>
      <family val="2"/>
      <scheme val="minor"/>
    </font>
  </fonts>
  <fills count="6">
    <fill>
      <patternFill patternType="none"/>
    </fill>
    <fill>
      <patternFill patternType="gray125"/>
    </fill>
    <fill>
      <patternFill patternType="solid">
        <fgColor theme="4" tint="0.79998168889431442"/>
        <bgColor indexed="64"/>
      </patternFill>
    </fill>
    <fill>
      <patternFill patternType="solid">
        <fgColor theme="3" tint="0.79998168889431442"/>
        <bgColor indexed="64"/>
      </patternFill>
    </fill>
    <fill>
      <patternFill patternType="solid">
        <fgColor theme="2" tint="-0.499984740745262"/>
        <bgColor indexed="64"/>
      </patternFill>
    </fill>
    <fill>
      <patternFill patternType="solid">
        <fgColor theme="2" tint="-0.749992370372631"/>
        <bgColor indexed="64"/>
      </patternFill>
    </fill>
  </fills>
  <borders count="3">
    <border>
      <left/>
      <right/>
      <top/>
      <bottom/>
      <diagonal/>
    </border>
    <border>
      <left/>
      <right/>
      <top/>
      <bottom style="thin">
        <color indexed="64"/>
      </bottom>
      <diagonal/>
    </border>
    <border>
      <left/>
      <right/>
      <top style="thin">
        <color indexed="64"/>
      </top>
      <bottom style="thin">
        <color indexed="64"/>
      </bottom>
      <diagonal/>
    </border>
  </borders>
  <cellStyleXfs count="1">
    <xf numFmtId="0" fontId="0" fillId="0" borderId="0"/>
  </cellStyleXfs>
  <cellXfs count="16">
    <xf numFmtId="0" fontId="0" fillId="0" borderId="0" xfId="0"/>
    <xf numFmtId="0" fontId="0" fillId="0" borderId="0" xfId="0" applyBorder="1"/>
    <xf numFmtId="0" fontId="0" fillId="0" borderId="1" xfId="0" applyBorder="1"/>
    <xf numFmtId="0" fontId="0" fillId="2" borderId="1" xfId="0" applyFill="1" applyBorder="1"/>
    <xf numFmtId="0" fontId="0" fillId="2" borderId="2" xfId="0" applyFill="1" applyBorder="1"/>
    <xf numFmtId="0" fontId="0" fillId="0" borderId="0" xfId="0" applyNumberFormat="1"/>
    <xf numFmtId="22" fontId="0" fillId="0" borderId="0" xfId="0" applyNumberFormat="1"/>
    <xf numFmtId="0" fontId="0" fillId="0" borderId="0" xfId="0" pivotButton="1"/>
    <xf numFmtId="0" fontId="0" fillId="0" borderId="0" xfId="0" applyAlignment="1">
      <alignment horizontal="left"/>
    </xf>
    <xf numFmtId="0" fontId="0" fillId="4" borderId="0" xfId="0" applyFill="1"/>
    <xf numFmtId="0" fontId="4" fillId="0" borderId="0" xfId="0" applyFont="1" applyAlignment="1">
      <alignment vertical="center"/>
    </xf>
    <xf numFmtId="22" fontId="0" fillId="0" borderId="0" xfId="0" applyNumberFormat="1" applyAlignment="1">
      <alignment horizontal="left"/>
    </xf>
    <xf numFmtId="0" fontId="1" fillId="3" borderId="0" xfId="0" applyFont="1" applyFill="1" applyAlignment="1">
      <alignment horizontal="center"/>
    </xf>
    <xf numFmtId="0" fontId="1" fillId="0" borderId="0" xfId="0" applyFont="1" applyAlignment="1">
      <alignment horizontal="center"/>
    </xf>
    <xf numFmtId="0" fontId="5" fillId="5" borderId="0" xfId="0" applyFont="1" applyFill="1" applyAlignment="1">
      <alignment horizontal="center" vertical="center" wrapText="1"/>
    </xf>
    <xf numFmtId="0" fontId="6" fillId="0" borderId="0" xfId="0" applyFont="1" applyAlignment="1">
      <alignment horizontal="center" vertical="center"/>
    </xf>
  </cellXfs>
  <cellStyles count="1">
    <cellStyle name="Normal" xfId="0" builtinId="0"/>
  </cellStyles>
  <dxfs count="15">
    <dxf>
      <numFmt numFmtId="0" formatCode="General"/>
    </dxf>
    <dxf>
      <numFmt numFmtId="0" formatCode="General"/>
    </dxf>
    <dxf>
      <numFmt numFmtId="27" formatCode="dd/mm/yyyy\ hh:mm"/>
    </dxf>
    <dxf>
      <numFmt numFmtId="0" formatCode="General"/>
    </dxf>
    <dxf>
      <numFmt numFmtId="0" formatCode="General"/>
    </dxf>
    <dxf>
      <numFmt numFmtId="0" formatCode="General"/>
    </dxf>
    <dxf>
      <numFmt numFmtId="0" formatCode="General"/>
    </dxf>
    <dxf>
      <numFmt numFmtId="0" formatCode="General"/>
    </dxf>
    <dxf>
      <numFmt numFmtId="27" formatCode="dd/mm/yyyy\ hh:mm"/>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Fraud</a:t>
            </a:r>
            <a:r>
              <a:rPr lang="en-US" baseline="0"/>
              <a:t> by Location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4"/>
              <c:pt idx="0">
                <c:v>Abuja</c:v>
              </c:pt>
              <c:pt idx="1">
                <c:v>Enugu</c:v>
              </c:pt>
              <c:pt idx="2">
                <c:v>Lagos</c:v>
              </c:pt>
              <c:pt idx="3">
                <c:v>PH</c:v>
              </c:pt>
            </c:strLit>
          </c:cat>
          <c:val>
            <c:numLit>
              <c:formatCode>General</c:formatCode>
              <c:ptCount val="4"/>
              <c:pt idx="0">
                <c:v>0.1211</c:v>
              </c:pt>
              <c:pt idx="1">
                <c:v>0.24109999999999998</c:v>
              </c:pt>
              <c:pt idx="2">
                <c:v>0.1125</c:v>
              </c:pt>
              <c:pt idx="3">
                <c:v>0.371</c:v>
              </c:pt>
            </c:numLit>
          </c:val>
          <c:extLst>
            <c:ext xmlns:c16="http://schemas.microsoft.com/office/drawing/2014/chart" uri="{C3380CC4-5D6E-409C-BE32-E72D297353CC}">
              <c16:uniqueId val="{00000000-EB8E-496B-A9DB-71A85E67C4A6}"/>
            </c:ext>
          </c:extLst>
        </c:ser>
        <c:dLbls>
          <c:showLegendKey val="0"/>
          <c:showVal val="0"/>
          <c:showCatName val="0"/>
          <c:showSerName val="0"/>
          <c:showPercent val="0"/>
          <c:showBubbleSize val="0"/>
        </c:dLbls>
        <c:gapWidth val="219"/>
        <c:overlap val="-27"/>
        <c:axId val="2003395712"/>
        <c:axId val="2003398624"/>
      </c:barChart>
      <c:catAx>
        <c:axId val="2003395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2003398624"/>
        <c:crosses val="autoZero"/>
        <c:auto val="1"/>
        <c:lblAlgn val="ctr"/>
        <c:lblOffset val="100"/>
        <c:noMultiLvlLbl val="0"/>
      </c:catAx>
      <c:valAx>
        <c:axId val="200339862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20033957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[FinancialCrime.xlsm]Crime_Detection Analysis!PivotTable6</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Fraud Score by Sender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'Crime_Detection Analysis'!$E$3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'Crime_Detection Analysis'!$D$4:$D$10</c:f>
              <c:strCache>
                <c:ptCount val="6"/>
                <c:pt idx="0">
                  <c:v>Emeh Glory Chiamaka</c:v>
                </c:pt>
                <c:pt idx="1">
                  <c:v>Hassan Bashir</c:v>
                </c:pt>
                <c:pt idx="2">
                  <c:v>Odorotoya Etim</c:v>
                </c:pt>
                <c:pt idx="3">
                  <c:v>Enoch itibo</c:v>
                </c:pt>
                <c:pt idx="4">
                  <c:v>Etiro folic</c:v>
                </c:pt>
                <c:pt idx="5">
                  <c:v>emehg</c:v>
                </c:pt>
              </c:strCache>
            </c:strRef>
          </c:cat>
          <c:val>
            <c:numRef>
              <c:f>'Crime_Detection Analysis'!$E$4:$E$10</c:f>
              <c:numCache>
                <c:formatCode>General</c:formatCode>
                <c:ptCount val="6"/>
                <c:pt idx="0">
                  <c:v>0.63729999999999998</c:v>
                </c:pt>
                <c:pt idx="1">
                  <c:v>9.5899999999999999E-2</c:v>
                </c:pt>
                <c:pt idx="2">
                  <c:v>0.1125</c:v>
                </c:pt>
                <c:pt idx="3">
                  <c:v>0.2387</c:v>
                </c:pt>
                <c:pt idx="4">
                  <c:v>0.17480000000000001</c:v>
                </c:pt>
                <c:pt idx="5">
                  <c:v>0.55230000000000001</c:v>
                </c:pt>
              </c:numCache>
            </c:numRef>
          </c:val>
          <c:extLst>
            <c:ext xmlns:c16="http://schemas.microsoft.com/office/drawing/2014/chart" uri="{C3380CC4-5D6E-409C-BE32-E72D297353CC}">
              <c16:uniqueId val="{00000000-8867-4CE2-86B2-28C28E2A92A2}"/>
            </c:ext>
          </c:extLst>
        </c:ser>
        <c:dLbls>
          <c:dLblPos val="outEnd"/>
          <c:showLegendKey val="0"/>
          <c:showVal val="1"/>
          <c:showCatName val="0"/>
          <c:showSerName val="0"/>
          <c:showPercent val="0"/>
          <c:showBubbleSize val="0"/>
        </c:dLbls>
        <c:gapWidth val="182"/>
        <c:axId val="519308624"/>
        <c:axId val="519313616"/>
      </c:barChart>
      <c:catAx>
        <c:axId val="5193086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519313616"/>
        <c:crosses val="autoZero"/>
        <c:auto val="1"/>
        <c:lblAlgn val="ctr"/>
        <c:lblOffset val="100"/>
        <c:noMultiLvlLbl val="0"/>
      </c:catAx>
      <c:valAx>
        <c:axId val="51931361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5193086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Fraud</a:t>
            </a:r>
            <a:r>
              <a:rPr lang="en-US" baseline="0"/>
              <a:t> by Amount and ID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v>Series1</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4"/>
              <c:pt idx="0">
                <c:v>1</c:v>
              </c:pt>
              <c:pt idx="1">
                <c:v>2</c:v>
              </c:pt>
              <c:pt idx="2">
                <c:v>3</c:v>
              </c:pt>
              <c:pt idx="3">
                <c:v>4</c:v>
              </c:pt>
            </c:numLit>
          </c:cat>
          <c:val>
            <c:numLit>
              <c:formatCode>General</c:formatCode>
              <c:ptCount val="4"/>
              <c:pt idx="0">
                <c:v>1</c:v>
              </c:pt>
              <c:pt idx="1">
                <c:v>2</c:v>
              </c:pt>
              <c:pt idx="2">
                <c:v>1</c:v>
              </c:pt>
              <c:pt idx="3">
                <c:v>2</c:v>
              </c:pt>
            </c:numLit>
          </c:val>
          <c:extLst>
            <c:ext xmlns:c16="http://schemas.microsoft.com/office/drawing/2014/chart" uri="{C3380CC4-5D6E-409C-BE32-E72D297353CC}">
              <c16:uniqueId val="{00000000-B029-450E-9040-96FE5B8ECC1B}"/>
            </c:ext>
          </c:extLst>
        </c:ser>
        <c:dLbls>
          <c:showLegendKey val="0"/>
          <c:showVal val="1"/>
          <c:showCatName val="0"/>
          <c:showSerName val="0"/>
          <c:showPercent val="0"/>
          <c:showBubbleSize val="0"/>
        </c:dLbls>
        <c:gapWidth val="219"/>
        <c:overlap val="100"/>
        <c:axId val="2050466848"/>
        <c:axId val="2050466432"/>
      </c:barChart>
      <c:lineChart>
        <c:grouping val="standard"/>
        <c:varyColors val="0"/>
        <c:ser>
          <c:idx val="1"/>
          <c:order val="1"/>
          <c:tx>
            <c:v>Series2</c:v>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4"/>
              <c:pt idx="0">
                <c:v>1</c:v>
              </c:pt>
              <c:pt idx="1">
                <c:v>2</c:v>
              </c:pt>
              <c:pt idx="2">
                <c:v>3</c:v>
              </c:pt>
              <c:pt idx="3">
                <c:v>4</c:v>
              </c:pt>
            </c:numLit>
          </c:cat>
          <c:val>
            <c:numLit>
              <c:formatCode>General</c:formatCode>
              <c:ptCount val="4"/>
              <c:pt idx="0">
                <c:v>30000</c:v>
              </c:pt>
              <c:pt idx="1">
                <c:v>75000</c:v>
              </c:pt>
              <c:pt idx="2">
                <c:v>45000</c:v>
              </c:pt>
              <c:pt idx="3">
                <c:v>47000</c:v>
              </c:pt>
            </c:numLit>
          </c:val>
          <c:smooth val="0"/>
          <c:extLst>
            <c:ext xmlns:c16="http://schemas.microsoft.com/office/drawing/2014/chart" uri="{C3380CC4-5D6E-409C-BE32-E72D297353CC}">
              <c16:uniqueId val="{00000001-B029-450E-9040-96FE5B8ECC1B}"/>
            </c:ext>
          </c:extLst>
        </c:ser>
        <c:dLbls>
          <c:showLegendKey val="0"/>
          <c:showVal val="1"/>
          <c:showCatName val="0"/>
          <c:showSerName val="0"/>
          <c:showPercent val="0"/>
          <c:showBubbleSize val="0"/>
        </c:dLbls>
        <c:marker val="1"/>
        <c:smooth val="0"/>
        <c:axId val="2050464352"/>
        <c:axId val="2050464768"/>
      </c:lineChart>
      <c:catAx>
        <c:axId val="2050464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2050464768"/>
        <c:crosses val="autoZero"/>
        <c:auto val="1"/>
        <c:lblAlgn val="ctr"/>
        <c:lblOffset val="100"/>
        <c:noMultiLvlLbl val="0"/>
      </c:catAx>
      <c:valAx>
        <c:axId val="205046476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2050464352"/>
        <c:crosses val="autoZero"/>
        <c:crossBetween val="between"/>
      </c:valAx>
      <c:valAx>
        <c:axId val="205046643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2050466848"/>
        <c:crosses val="max"/>
        <c:crossBetween val="between"/>
      </c:valAx>
      <c:catAx>
        <c:axId val="2050466848"/>
        <c:scaling>
          <c:orientation val="minMax"/>
        </c:scaling>
        <c:delete val="1"/>
        <c:axPos val="b"/>
        <c:numFmt formatCode="General" sourceLinked="1"/>
        <c:majorTickMark val="out"/>
        <c:minorTickMark val="none"/>
        <c:tickLblPos val="nextTo"/>
        <c:crossAx val="205046643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[FinancialCrime.xlsm]Crime_Detection Analysis!PivotTable5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Fraud</a:t>
            </a:r>
            <a:r>
              <a:rPr lang="en-US" baseline="0"/>
              <a:t> by locatio and fraudID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'Crime_Detection Analysis'!$B$23:$B$24</c:f>
              <c:strCache>
                <c:ptCount val="1"/>
                <c:pt idx="0">
                  <c:v>Abuja</c:v>
                </c:pt>
              </c:strCache>
            </c:strRef>
          </c:tx>
          <c:spPr>
            <a:solidFill>
              <a:schemeClr val="accent1"/>
            </a:solidFill>
            <a:ln>
              <a:noFill/>
            </a:ln>
            <a:effectLst/>
          </c:spPr>
          <c:invertIfNegative val="0"/>
          <c:cat>
            <c:strRef>
              <c:f>'Crime_Detection Analysis'!$A$25:$A$27</c:f>
              <c:strCache>
                <c:ptCount val="2"/>
                <c:pt idx="0">
                  <c:v>FALSE</c:v>
                </c:pt>
                <c:pt idx="1">
                  <c:v>TRUE</c:v>
                </c:pt>
              </c:strCache>
            </c:strRef>
          </c:cat>
          <c:val>
            <c:numRef>
              <c:f>'Crime_Detection Analysis'!$B$25:$B$27</c:f>
              <c:numCache>
                <c:formatCode>General</c:formatCode>
                <c:ptCount val="2"/>
                <c:pt idx="1">
                  <c:v>3</c:v>
                </c:pt>
              </c:numCache>
            </c:numRef>
          </c:val>
          <c:extLst>
            <c:ext xmlns:c16="http://schemas.microsoft.com/office/drawing/2014/chart" uri="{C3380CC4-5D6E-409C-BE32-E72D297353CC}">
              <c16:uniqueId val="{00000000-2C50-441A-BB4F-B3BB686DB11D}"/>
            </c:ext>
          </c:extLst>
        </c:ser>
        <c:ser>
          <c:idx val="1"/>
          <c:order val="1"/>
          <c:tx>
            <c:strRef>
              <c:f>'Crime_Detection Analysis'!$C$23:$C$24</c:f>
              <c:strCache>
                <c:ptCount val="1"/>
                <c:pt idx="0">
                  <c:v>Enugu</c:v>
                </c:pt>
              </c:strCache>
            </c:strRef>
          </c:tx>
          <c:spPr>
            <a:solidFill>
              <a:schemeClr val="accent2"/>
            </a:solidFill>
            <a:ln>
              <a:noFill/>
            </a:ln>
            <a:effectLst/>
          </c:spPr>
          <c:invertIfNegative val="0"/>
          <c:cat>
            <c:strRef>
              <c:f>'Crime_Detection Analysis'!$A$25:$A$27</c:f>
              <c:strCache>
                <c:ptCount val="2"/>
                <c:pt idx="0">
                  <c:v>FALSE</c:v>
                </c:pt>
                <c:pt idx="1">
                  <c:v>TRUE</c:v>
                </c:pt>
              </c:strCache>
            </c:strRef>
          </c:cat>
          <c:val>
            <c:numRef>
              <c:f>'Crime_Detection Analysis'!$C$25:$C$27</c:f>
              <c:numCache>
                <c:formatCode>General</c:formatCode>
                <c:ptCount val="2"/>
                <c:pt idx="0">
                  <c:v>2</c:v>
                </c:pt>
                <c:pt idx="1">
                  <c:v>1</c:v>
                </c:pt>
              </c:numCache>
            </c:numRef>
          </c:val>
          <c:extLst>
            <c:ext xmlns:c16="http://schemas.microsoft.com/office/drawing/2014/chart" uri="{C3380CC4-5D6E-409C-BE32-E72D297353CC}">
              <c16:uniqueId val="{00000001-2C50-441A-BB4F-B3BB686DB11D}"/>
            </c:ext>
          </c:extLst>
        </c:ser>
        <c:ser>
          <c:idx val="2"/>
          <c:order val="2"/>
          <c:tx>
            <c:strRef>
              <c:f>'Crime_Detection Analysis'!$D$23:$D$24</c:f>
              <c:strCache>
                <c:ptCount val="1"/>
                <c:pt idx="0">
                  <c:v>Lagos</c:v>
                </c:pt>
              </c:strCache>
            </c:strRef>
          </c:tx>
          <c:spPr>
            <a:solidFill>
              <a:schemeClr val="accent3"/>
            </a:solidFill>
            <a:ln>
              <a:noFill/>
            </a:ln>
            <a:effectLst/>
          </c:spPr>
          <c:invertIfNegative val="0"/>
          <c:cat>
            <c:strRef>
              <c:f>'Crime_Detection Analysis'!$A$25:$A$27</c:f>
              <c:strCache>
                <c:ptCount val="2"/>
                <c:pt idx="0">
                  <c:v>FALSE</c:v>
                </c:pt>
                <c:pt idx="1">
                  <c:v>TRUE</c:v>
                </c:pt>
              </c:strCache>
            </c:strRef>
          </c:cat>
          <c:val>
            <c:numRef>
              <c:f>'Crime_Detection Analysis'!$D$25:$D$27</c:f>
              <c:numCache>
                <c:formatCode>General</c:formatCode>
                <c:ptCount val="2"/>
                <c:pt idx="0">
                  <c:v>1</c:v>
                </c:pt>
                <c:pt idx="1">
                  <c:v>1</c:v>
                </c:pt>
              </c:numCache>
            </c:numRef>
          </c:val>
          <c:extLst>
            <c:ext xmlns:c16="http://schemas.microsoft.com/office/drawing/2014/chart" uri="{C3380CC4-5D6E-409C-BE32-E72D297353CC}">
              <c16:uniqueId val="{00000002-2C50-441A-BB4F-B3BB686DB11D}"/>
            </c:ext>
          </c:extLst>
        </c:ser>
        <c:ser>
          <c:idx val="3"/>
          <c:order val="3"/>
          <c:tx>
            <c:strRef>
              <c:f>'Crime_Detection Analysis'!$E$23:$E$24</c:f>
              <c:strCache>
                <c:ptCount val="1"/>
                <c:pt idx="0">
                  <c:v>PH</c:v>
                </c:pt>
              </c:strCache>
            </c:strRef>
          </c:tx>
          <c:spPr>
            <a:solidFill>
              <a:schemeClr val="accent4"/>
            </a:solidFill>
            <a:ln>
              <a:noFill/>
            </a:ln>
            <a:effectLst/>
          </c:spPr>
          <c:invertIfNegative val="0"/>
          <c:cat>
            <c:strRef>
              <c:f>'Crime_Detection Analysis'!$A$25:$A$27</c:f>
              <c:strCache>
                <c:ptCount val="2"/>
                <c:pt idx="0">
                  <c:v>FALSE</c:v>
                </c:pt>
                <c:pt idx="1">
                  <c:v>TRUE</c:v>
                </c:pt>
              </c:strCache>
            </c:strRef>
          </c:cat>
          <c:val>
            <c:numRef>
              <c:f>'Crime_Detection Analysis'!$E$25:$E$27</c:f>
              <c:numCache>
                <c:formatCode>General</c:formatCode>
                <c:ptCount val="2"/>
                <c:pt idx="0">
                  <c:v>1</c:v>
                </c:pt>
                <c:pt idx="1">
                  <c:v>2</c:v>
                </c:pt>
              </c:numCache>
            </c:numRef>
          </c:val>
          <c:extLst>
            <c:ext xmlns:c16="http://schemas.microsoft.com/office/drawing/2014/chart" uri="{C3380CC4-5D6E-409C-BE32-E72D297353CC}">
              <c16:uniqueId val="{00000003-2C50-441A-BB4F-B3BB686DB11D}"/>
            </c:ext>
          </c:extLst>
        </c:ser>
        <c:dLbls>
          <c:showLegendKey val="0"/>
          <c:showVal val="0"/>
          <c:showCatName val="0"/>
          <c:showSerName val="0"/>
          <c:showPercent val="0"/>
          <c:showBubbleSize val="0"/>
        </c:dLbls>
        <c:gapWidth val="219"/>
        <c:overlap val="-27"/>
        <c:axId val="1047133568"/>
        <c:axId val="1047136480"/>
      </c:barChart>
      <c:catAx>
        <c:axId val="1047133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047136480"/>
        <c:crosses val="autoZero"/>
        <c:auto val="1"/>
        <c:lblAlgn val="ctr"/>
        <c:lblOffset val="100"/>
        <c:noMultiLvlLbl val="0"/>
      </c:catAx>
      <c:valAx>
        <c:axId val="104713648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047133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[FinancialCrime.xlsm]Crime_Detection Analysis!PivotTable4</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Fraud</a:t>
            </a:r>
            <a:r>
              <a:rPr lang="en-US" baseline="0"/>
              <a:t> Over Time</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lumMod val="40000"/>
                <a:lumOff val="6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2">
                <a:lumMod val="40000"/>
                <a:lumOff val="60000"/>
              </a:schemeClr>
            </a:solidFill>
            <a:round/>
          </a:ln>
          <a:effectLst/>
        </c:spPr>
        <c:marker>
          <c:symbol val="none"/>
        </c:marker>
      </c:pivotFmt>
    </c:pivotFmts>
    <c:plotArea>
      <c:layout/>
      <c:lineChart>
        <c:grouping val="standard"/>
        <c:varyColors val="0"/>
        <c:ser>
          <c:idx val="0"/>
          <c:order val="0"/>
          <c:tx>
            <c:strRef>
              <c:f>'Crime_Detection Analysis'!$I$12</c:f>
              <c:strCache>
                <c:ptCount val="1"/>
                <c:pt idx="0">
                  <c:v>Total</c:v>
                </c:pt>
              </c:strCache>
            </c:strRef>
          </c:tx>
          <c:spPr>
            <a:ln w="28575" cap="rnd">
              <a:solidFill>
                <a:schemeClr val="accent2">
                  <a:lumMod val="40000"/>
                  <a:lumOff val="6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'Crime_Detection Analysis'!$H$13:$H$24</c:f>
              <c:strCache>
                <c:ptCount val="11"/>
                <c:pt idx="0">
                  <c:v>30/06/2025 13:54</c:v>
                </c:pt>
                <c:pt idx="1">
                  <c:v>30/06/2025 13:58</c:v>
                </c:pt>
                <c:pt idx="2">
                  <c:v>30/06/2025 14:03</c:v>
                </c:pt>
                <c:pt idx="3">
                  <c:v>30/06/2025 14:04</c:v>
                </c:pt>
                <c:pt idx="4">
                  <c:v>30/06/2025 14:07</c:v>
                </c:pt>
                <c:pt idx="5">
                  <c:v>05/07/2025 20:25</c:v>
                </c:pt>
                <c:pt idx="6">
                  <c:v>12/07/2025 00:05</c:v>
                </c:pt>
                <c:pt idx="7">
                  <c:v>12/07/2025 01:06</c:v>
                </c:pt>
                <c:pt idx="8">
                  <c:v>12/07/2025 12:28</c:v>
                </c:pt>
                <c:pt idx="9">
                  <c:v>12/07/2025 12:38</c:v>
                </c:pt>
                <c:pt idx="10">
                  <c:v>12/07/2025 13:18</c:v>
                </c:pt>
              </c:strCache>
            </c:strRef>
          </c:cat>
          <c:val>
            <c:numRef>
              <c:f>'Crime_Detection Analysis'!$I$13:$I$24</c:f>
              <c:numCache>
                <c:formatCode>General</c:formatCode>
                <c:ptCount val="11"/>
                <c:pt idx="0">
                  <c:v>30000</c:v>
                </c:pt>
                <c:pt idx="1">
                  <c:v>45000</c:v>
                </c:pt>
                <c:pt idx="2">
                  <c:v>45000</c:v>
                </c:pt>
                <c:pt idx="3">
                  <c:v>45000</c:v>
                </c:pt>
                <c:pt idx="4">
                  <c:v>30000</c:v>
                </c:pt>
                <c:pt idx="5">
                  <c:v>2000</c:v>
                </c:pt>
                <c:pt idx="6">
                  <c:v>3000</c:v>
                </c:pt>
                <c:pt idx="7">
                  <c:v>2000</c:v>
                </c:pt>
                <c:pt idx="8">
                  <c:v>3000</c:v>
                </c:pt>
                <c:pt idx="9">
                  <c:v>2000</c:v>
                </c:pt>
                <c:pt idx="10">
                  <c:v>50000</c:v>
                </c:pt>
              </c:numCache>
            </c:numRef>
          </c:val>
          <c:smooth val="0"/>
          <c:extLst>
            <c:ext xmlns:c16="http://schemas.microsoft.com/office/drawing/2014/chart" uri="{C3380CC4-5D6E-409C-BE32-E72D297353CC}">
              <c16:uniqueId val="{00000000-201D-4411-80BF-8EA4BA0F534A}"/>
            </c:ext>
          </c:extLst>
        </c:ser>
        <c:dLbls>
          <c:dLblPos val="t"/>
          <c:showLegendKey val="0"/>
          <c:showVal val="1"/>
          <c:showCatName val="0"/>
          <c:showSerName val="0"/>
          <c:showPercent val="0"/>
          <c:showBubbleSize val="0"/>
        </c:dLbls>
        <c:smooth val="0"/>
        <c:axId val="1227409248"/>
        <c:axId val="1227412160"/>
      </c:lineChart>
      <c:catAx>
        <c:axId val="1227409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227412160"/>
        <c:crosses val="autoZero"/>
        <c:auto val="1"/>
        <c:lblAlgn val="ctr"/>
        <c:lblOffset val="100"/>
        <c:noMultiLvlLbl val="0"/>
      </c:catAx>
      <c:valAx>
        <c:axId val="12274121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227409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a:t>
            </a:r>
            <a:r>
              <a:rPr lang="en-US" baseline="0"/>
              <a:t> of Reciever by Location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Series1</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4"/>
              <c:pt idx="0">
                <c:v>1</c:v>
              </c:pt>
              <c:pt idx="1">
                <c:v>2</c:v>
              </c:pt>
              <c:pt idx="2">
                <c:v>3</c:v>
              </c:pt>
              <c:pt idx="3">
                <c:v>4</c:v>
              </c:pt>
            </c:numLit>
          </c:cat>
          <c:val>
            <c:numLit>
              <c:formatCode>General</c:formatCode>
              <c:ptCount val="4"/>
              <c:pt idx="0">
                <c:v>1</c:v>
              </c:pt>
              <c:pt idx="1">
                <c:v>2</c:v>
              </c:pt>
              <c:pt idx="2">
                <c:v>1</c:v>
              </c:pt>
              <c:pt idx="3">
                <c:v>2</c:v>
              </c:pt>
            </c:numLit>
          </c:val>
          <c:extLst>
            <c:ext xmlns:c16="http://schemas.microsoft.com/office/drawing/2014/chart" uri="{C3380CC4-5D6E-409C-BE32-E72D297353CC}">
              <c16:uniqueId val="{00000000-AA4B-41CE-B42F-E0CFF36D48F6}"/>
            </c:ext>
          </c:extLst>
        </c:ser>
        <c:dLbls>
          <c:dLblPos val="outEnd"/>
          <c:showLegendKey val="0"/>
          <c:showVal val="1"/>
          <c:showCatName val="0"/>
          <c:showSerName val="0"/>
          <c:showPercent val="0"/>
          <c:showBubbleSize val="0"/>
        </c:dLbls>
        <c:gapWidth val="219"/>
        <c:overlap val="-27"/>
        <c:axId val="458110576"/>
        <c:axId val="458107248"/>
      </c:barChart>
      <c:catAx>
        <c:axId val="4581105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458107248"/>
        <c:crosses val="autoZero"/>
        <c:auto val="1"/>
        <c:lblAlgn val="ctr"/>
        <c:lblOffset val="100"/>
        <c:noMultiLvlLbl val="0"/>
      </c:catAx>
      <c:valAx>
        <c:axId val="45810724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4581105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Sum</a:t>
            </a:r>
            <a:r>
              <a:rPr lang="en-US" baseline="0"/>
              <a:t> of Aount by Location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v>Series1</c:v>
          </c:tx>
          <c:spPr>
            <a:solidFill>
              <a:schemeClr val="accent1"/>
            </a:solidFill>
            <a:ln>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4"/>
              <c:pt idx="0">
                <c:v>1</c:v>
              </c:pt>
              <c:pt idx="1">
                <c:v>2</c:v>
              </c:pt>
              <c:pt idx="2">
                <c:v>3</c:v>
              </c:pt>
              <c:pt idx="3">
                <c:v>4</c:v>
              </c:pt>
            </c:numLit>
          </c:cat>
          <c:val>
            <c:numLit>
              <c:formatCode>General</c:formatCode>
              <c:ptCount val="4"/>
              <c:pt idx="0">
                <c:v>1</c:v>
              </c:pt>
              <c:pt idx="1">
                <c:v>2</c:v>
              </c:pt>
              <c:pt idx="2">
                <c:v>1</c:v>
              </c:pt>
              <c:pt idx="3">
                <c:v>2</c:v>
              </c:pt>
            </c:numLit>
          </c:val>
          <c:extLst>
            <c:ext xmlns:c16="http://schemas.microsoft.com/office/drawing/2014/chart" uri="{C3380CC4-5D6E-409C-BE32-E72D297353CC}">
              <c16:uniqueId val="{00000000-50F0-436E-8A65-429FAEB5CEBB}"/>
            </c:ext>
          </c:extLst>
        </c:ser>
        <c:ser>
          <c:idx val="1"/>
          <c:order val="1"/>
          <c:tx>
            <c:v>Series2</c:v>
          </c:tx>
          <c:spPr>
            <a:solidFill>
              <a:srgbClr val="00B0F0"/>
            </a:solidFill>
            <a:ln>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4"/>
              <c:pt idx="0">
                <c:v>1</c:v>
              </c:pt>
              <c:pt idx="1">
                <c:v>2</c:v>
              </c:pt>
              <c:pt idx="2">
                <c:v>3</c:v>
              </c:pt>
              <c:pt idx="3">
                <c:v>4</c:v>
              </c:pt>
            </c:numLit>
          </c:cat>
          <c:val>
            <c:numLit>
              <c:formatCode>General</c:formatCode>
              <c:ptCount val="4"/>
              <c:pt idx="0">
                <c:v>30000</c:v>
              </c:pt>
              <c:pt idx="1">
                <c:v>75000</c:v>
              </c:pt>
              <c:pt idx="2">
                <c:v>45000</c:v>
              </c:pt>
              <c:pt idx="3">
                <c:v>47000</c:v>
              </c:pt>
            </c:numLit>
          </c:val>
          <c:extLst>
            <c:ext xmlns:c16="http://schemas.microsoft.com/office/drawing/2014/chart" uri="{C3380CC4-5D6E-409C-BE32-E72D297353CC}">
              <c16:uniqueId val="{00000001-50F0-436E-8A65-429FAEB5CEBB}"/>
            </c:ext>
          </c:extLst>
        </c:ser>
        <c:dLbls>
          <c:showLegendKey val="0"/>
          <c:showVal val="1"/>
          <c:showCatName val="0"/>
          <c:showSerName val="0"/>
          <c:showPercent val="0"/>
          <c:showBubbleSize val="0"/>
        </c:dLbls>
        <c:axId val="1163619792"/>
        <c:axId val="1163623952"/>
      </c:areaChart>
      <c:catAx>
        <c:axId val="11636197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163623952"/>
        <c:crosses val="autoZero"/>
        <c:auto val="1"/>
        <c:lblAlgn val="ctr"/>
        <c:lblOffset val="100"/>
        <c:noMultiLvlLbl val="0"/>
      </c:catAx>
      <c:valAx>
        <c:axId val="116362395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163619792"/>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69850</xdr:colOff>
          <xdr:row>10</xdr:row>
          <xdr:rowOff>152400</xdr:rowOff>
        </xdr:from>
        <xdr:to>
          <xdr:col>5</xdr:col>
          <xdr:colOff>1492250</xdr:colOff>
          <xdr:row>12</xdr:row>
          <xdr:rowOff>146050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G" sz="1100" b="0" i="0" u="none" strike="noStrike" baseline="0">
                  <a:solidFill>
                    <a:srgbClr val="000000"/>
                  </a:solidFill>
                  <a:latin typeface="Calibri"/>
                  <a:ea typeface="Calibri"/>
                  <a:cs typeface="Calibri"/>
                </a:rPr>
                <a:t>Confirm and Send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552450</xdr:colOff>
      <xdr:row>7</xdr:row>
      <xdr:rowOff>177800</xdr:rowOff>
    </xdr:from>
    <xdr:to>
      <xdr:col>6</xdr:col>
      <xdr:colOff>596900</xdr:colOff>
      <xdr:row>21</xdr:row>
      <xdr:rowOff>79375</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603250</xdr:colOff>
      <xdr:row>7</xdr:row>
      <xdr:rowOff>127000</xdr:rowOff>
    </xdr:from>
    <xdr:to>
      <xdr:col>18</xdr:col>
      <xdr:colOff>533400</xdr:colOff>
      <xdr:row>21</xdr:row>
      <xdr:rowOff>69850</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533400</xdr:colOff>
      <xdr:row>22</xdr:row>
      <xdr:rowOff>38100</xdr:rowOff>
    </xdr:from>
    <xdr:to>
      <xdr:col>8</xdr:col>
      <xdr:colOff>457200</xdr:colOff>
      <xdr:row>36</xdr:row>
      <xdr:rowOff>6350</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50800</xdr:colOff>
      <xdr:row>22</xdr:row>
      <xdr:rowOff>63500</xdr:rowOff>
    </xdr:from>
    <xdr:to>
      <xdr:col>14</xdr:col>
      <xdr:colOff>381000</xdr:colOff>
      <xdr:row>36</xdr:row>
      <xdr:rowOff>88900</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12700</xdr:colOff>
      <xdr:row>0</xdr:row>
      <xdr:rowOff>0</xdr:rowOff>
    </xdr:from>
    <xdr:to>
      <xdr:col>18</xdr:col>
      <xdr:colOff>247650</xdr:colOff>
      <xdr:row>3</xdr:row>
      <xdr:rowOff>50800</xdr:rowOff>
    </xdr:to>
    <xdr:sp macro="" textlink="">
      <xdr:nvSpPr>
        <xdr:cNvPr id="6" name="Rectangle: Rounded Corners 5">
          <a:extLst>
            <a:ext uri="{FF2B5EF4-FFF2-40B4-BE49-F238E27FC236}">
              <a16:creationId xmlns:a16="http://schemas.microsoft.com/office/drawing/2014/main" id="{00000000-0008-0000-0400-000006000000}"/>
            </a:ext>
          </a:extLst>
        </xdr:cNvPr>
        <xdr:cNvSpPr/>
      </xdr:nvSpPr>
      <xdr:spPr>
        <a:xfrm>
          <a:off x="12700" y="0"/>
          <a:ext cx="11207750" cy="603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a:solidFill>
                <a:schemeClr val="accent2">
                  <a:lumMod val="40000"/>
                  <a:lumOff val="60000"/>
                </a:schemeClr>
              </a:solidFill>
            </a:rPr>
            <a:t>FINANCIAL</a:t>
          </a:r>
          <a:r>
            <a:rPr lang="en-US" sz="3600" b="1" baseline="0">
              <a:solidFill>
                <a:schemeClr val="accent2">
                  <a:lumMod val="40000"/>
                  <a:lumOff val="60000"/>
                </a:schemeClr>
              </a:solidFill>
            </a:rPr>
            <a:t> CRIME ANALYTIC DASHBOARD</a:t>
          </a:r>
          <a:endParaRPr lang="en-NG" sz="3600" b="1">
            <a:solidFill>
              <a:schemeClr val="accent2">
                <a:lumMod val="40000"/>
                <a:lumOff val="60000"/>
              </a:schemeClr>
            </a:solidFill>
          </a:endParaRPr>
        </a:p>
      </xdr:txBody>
    </xdr:sp>
    <xdr:clientData/>
  </xdr:twoCellAnchor>
  <xdr:twoCellAnchor>
    <xdr:from>
      <xdr:col>0</xdr:col>
      <xdr:colOff>0</xdr:colOff>
      <xdr:row>3</xdr:row>
      <xdr:rowOff>63500</xdr:rowOff>
    </xdr:from>
    <xdr:to>
      <xdr:col>1</xdr:col>
      <xdr:colOff>368300</xdr:colOff>
      <xdr:row>37</xdr:row>
      <xdr:rowOff>19050</xdr:rowOff>
    </xdr:to>
    <xdr:sp macro="" textlink="">
      <xdr:nvSpPr>
        <xdr:cNvPr id="7" name="Rectangle: Rounded Corners 6">
          <a:extLst>
            <a:ext uri="{FF2B5EF4-FFF2-40B4-BE49-F238E27FC236}">
              <a16:creationId xmlns:a16="http://schemas.microsoft.com/office/drawing/2014/main" id="{00000000-0008-0000-0400-000007000000}"/>
            </a:ext>
          </a:extLst>
        </xdr:cNvPr>
        <xdr:cNvSpPr/>
      </xdr:nvSpPr>
      <xdr:spPr>
        <a:xfrm>
          <a:off x="0" y="615950"/>
          <a:ext cx="977900" cy="62166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4</xdr:col>
      <xdr:colOff>298450</xdr:colOff>
      <xdr:row>3</xdr:row>
      <xdr:rowOff>127000</xdr:rowOff>
    </xdr:from>
    <xdr:to>
      <xdr:col>6</xdr:col>
      <xdr:colOff>355600</xdr:colOff>
      <xdr:row>5</xdr:row>
      <xdr:rowOff>44450</xdr:rowOff>
    </xdr:to>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2736850" y="679450"/>
          <a:ext cx="1276350" cy="285750"/>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Total Transactions</a:t>
          </a:r>
          <a:endParaRPr lang="en-NG" sz="1100" b="1"/>
        </a:p>
      </xdr:txBody>
    </xdr:sp>
    <xdr:clientData/>
  </xdr:twoCellAnchor>
  <xdr:twoCellAnchor>
    <xdr:from>
      <xdr:col>4</xdr:col>
      <xdr:colOff>292100</xdr:colOff>
      <xdr:row>5</xdr:row>
      <xdr:rowOff>38100</xdr:rowOff>
    </xdr:from>
    <xdr:to>
      <xdr:col>6</xdr:col>
      <xdr:colOff>349250</xdr:colOff>
      <xdr:row>6</xdr:row>
      <xdr:rowOff>120650</xdr:rowOff>
    </xdr:to>
    <xdr:sp macro="" textlink="'Crime_Detection Analysis'!H2">
      <xdr:nvSpPr>
        <xdr:cNvPr id="9" name="TextBox 8">
          <a:extLst>
            <a:ext uri="{FF2B5EF4-FFF2-40B4-BE49-F238E27FC236}">
              <a16:creationId xmlns:a16="http://schemas.microsoft.com/office/drawing/2014/main" id="{00000000-0008-0000-0400-000009000000}"/>
            </a:ext>
          </a:extLst>
        </xdr:cNvPr>
        <xdr:cNvSpPr txBox="1"/>
      </xdr:nvSpPr>
      <xdr:spPr>
        <a:xfrm>
          <a:off x="2730500" y="958850"/>
          <a:ext cx="1276350"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022F8C3-CB1B-426A-9A7C-CE2F5C5ECBEE}" type="TxLink">
            <a:rPr lang="en-US" sz="1400" b="1" i="0" u="none" strike="noStrike">
              <a:solidFill>
                <a:srgbClr val="000000"/>
              </a:solidFill>
              <a:latin typeface="Calibri"/>
              <a:ea typeface="Calibri"/>
              <a:cs typeface="Calibri"/>
            </a:rPr>
            <a:pPr algn="ctr"/>
            <a:t>12</a:t>
          </a:fld>
          <a:endParaRPr lang="en-NG" sz="1400" b="1"/>
        </a:p>
      </xdr:txBody>
    </xdr:sp>
    <xdr:clientData/>
  </xdr:twoCellAnchor>
  <xdr:twoCellAnchor>
    <xdr:from>
      <xdr:col>7</xdr:col>
      <xdr:colOff>88900</xdr:colOff>
      <xdr:row>3</xdr:row>
      <xdr:rowOff>101600</xdr:rowOff>
    </xdr:from>
    <xdr:to>
      <xdr:col>9</xdr:col>
      <xdr:colOff>260350</xdr:colOff>
      <xdr:row>5</xdr:row>
      <xdr:rowOff>19050</xdr:rowOff>
    </xdr:to>
    <xdr:sp macro="" textlink="">
      <xdr:nvSpPr>
        <xdr:cNvPr id="10" name="TextBox 9">
          <a:extLst>
            <a:ext uri="{FF2B5EF4-FFF2-40B4-BE49-F238E27FC236}">
              <a16:creationId xmlns:a16="http://schemas.microsoft.com/office/drawing/2014/main" id="{00000000-0008-0000-0400-00000A000000}"/>
            </a:ext>
          </a:extLst>
        </xdr:cNvPr>
        <xdr:cNvSpPr txBox="1"/>
      </xdr:nvSpPr>
      <xdr:spPr>
        <a:xfrm>
          <a:off x="4356100" y="654050"/>
          <a:ext cx="1390650" cy="285750"/>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Average</a:t>
          </a:r>
          <a:r>
            <a:rPr lang="en-US" sz="1100" b="1" baseline="0"/>
            <a:t> FraudScore</a:t>
          </a:r>
          <a:endParaRPr lang="en-NG" sz="1100" b="1"/>
        </a:p>
      </xdr:txBody>
    </xdr:sp>
    <xdr:clientData/>
  </xdr:twoCellAnchor>
  <xdr:twoCellAnchor>
    <xdr:from>
      <xdr:col>7</xdr:col>
      <xdr:colOff>88900</xdr:colOff>
      <xdr:row>5</xdr:row>
      <xdr:rowOff>31750</xdr:rowOff>
    </xdr:from>
    <xdr:to>
      <xdr:col>9</xdr:col>
      <xdr:colOff>260350</xdr:colOff>
      <xdr:row>6</xdr:row>
      <xdr:rowOff>133350</xdr:rowOff>
    </xdr:to>
    <xdr:sp macro="" textlink="'Crime_Detection Analysis'!J2">
      <xdr:nvSpPr>
        <xdr:cNvPr id="11" name="TextBox 10">
          <a:extLst>
            <a:ext uri="{FF2B5EF4-FFF2-40B4-BE49-F238E27FC236}">
              <a16:creationId xmlns:a16="http://schemas.microsoft.com/office/drawing/2014/main" id="{00000000-0008-0000-0400-00000B000000}"/>
            </a:ext>
          </a:extLst>
        </xdr:cNvPr>
        <xdr:cNvSpPr txBox="1"/>
      </xdr:nvSpPr>
      <xdr:spPr>
        <a:xfrm>
          <a:off x="4356100" y="952500"/>
          <a:ext cx="1390650"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EEAEA6C-27D5-40F2-8D84-DFB29BA913B8}" type="TxLink">
            <a:rPr lang="en-US" sz="1400" b="1" i="0" u="none" strike="noStrike">
              <a:solidFill>
                <a:srgbClr val="000000"/>
              </a:solidFill>
              <a:latin typeface="Calibri"/>
              <a:ea typeface="Calibri"/>
              <a:cs typeface="Calibri"/>
            </a:rPr>
            <a:pPr algn="ctr"/>
            <a:t>0.167066667</a:t>
          </a:fld>
          <a:endParaRPr lang="en-NG" sz="1400" b="1"/>
        </a:p>
      </xdr:txBody>
    </xdr:sp>
    <xdr:clientData/>
  </xdr:twoCellAnchor>
  <xdr:twoCellAnchor>
    <xdr:from>
      <xdr:col>10</xdr:col>
      <xdr:colOff>12700</xdr:colOff>
      <xdr:row>3</xdr:row>
      <xdr:rowOff>114300</xdr:rowOff>
    </xdr:from>
    <xdr:to>
      <xdr:col>12</xdr:col>
      <xdr:colOff>184150</xdr:colOff>
      <xdr:row>5</xdr:row>
      <xdr:rowOff>31750</xdr:rowOff>
    </xdr:to>
    <xdr:sp macro="" textlink="">
      <xdr:nvSpPr>
        <xdr:cNvPr id="12" name="TextBox 11">
          <a:extLst>
            <a:ext uri="{FF2B5EF4-FFF2-40B4-BE49-F238E27FC236}">
              <a16:creationId xmlns:a16="http://schemas.microsoft.com/office/drawing/2014/main" id="{00000000-0008-0000-0400-00000C000000}"/>
            </a:ext>
          </a:extLst>
        </xdr:cNvPr>
        <xdr:cNvSpPr txBox="1"/>
      </xdr:nvSpPr>
      <xdr:spPr>
        <a:xfrm>
          <a:off x="6108700" y="666750"/>
          <a:ext cx="1390650" cy="285750"/>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Total</a:t>
          </a:r>
          <a:r>
            <a:rPr lang="en-US" sz="1100" b="1" baseline="0"/>
            <a:t> Fraud Amount</a:t>
          </a:r>
          <a:endParaRPr lang="en-NG" sz="1100" b="1"/>
        </a:p>
      </xdr:txBody>
    </xdr:sp>
    <xdr:clientData/>
  </xdr:twoCellAnchor>
  <xdr:twoCellAnchor>
    <xdr:from>
      <xdr:col>10</xdr:col>
      <xdr:colOff>12700</xdr:colOff>
      <xdr:row>5</xdr:row>
      <xdr:rowOff>44450</xdr:rowOff>
    </xdr:from>
    <xdr:to>
      <xdr:col>12</xdr:col>
      <xdr:colOff>184150</xdr:colOff>
      <xdr:row>6</xdr:row>
      <xdr:rowOff>146050</xdr:rowOff>
    </xdr:to>
    <xdr:sp macro="" textlink="'Crime_Detection Analysis'!L2">
      <xdr:nvSpPr>
        <xdr:cNvPr id="13" name="TextBox 12">
          <a:extLst>
            <a:ext uri="{FF2B5EF4-FFF2-40B4-BE49-F238E27FC236}">
              <a16:creationId xmlns:a16="http://schemas.microsoft.com/office/drawing/2014/main" id="{00000000-0008-0000-0400-00000D000000}"/>
            </a:ext>
          </a:extLst>
        </xdr:cNvPr>
        <xdr:cNvSpPr txBox="1"/>
      </xdr:nvSpPr>
      <xdr:spPr>
        <a:xfrm>
          <a:off x="6108700" y="965200"/>
          <a:ext cx="1390650"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FF9EC29-CDE0-4078-8CD2-F274546F2014}" type="TxLink">
            <a:rPr lang="en-US" sz="1400" b="1" i="0" u="none" strike="noStrike">
              <a:solidFill>
                <a:srgbClr val="000000"/>
              </a:solidFill>
              <a:latin typeface="Calibri"/>
              <a:ea typeface="Calibri"/>
              <a:cs typeface="Calibri"/>
            </a:rPr>
            <a:pPr algn="ctr"/>
            <a:t>172000</a:t>
          </a:fld>
          <a:endParaRPr lang="en-NG" sz="1400" b="1"/>
        </a:p>
      </xdr:txBody>
    </xdr:sp>
    <xdr:clientData/>
  </xdr:twoCellAnchor>
  <xdr:twoCellAnchor>
    <xdr:from>
      <xdr:col>7</xdr:col>
      <xdr:colOff>107950</xdr:colOff>
      <xdr:row>8</xdr:row>
      <xdr:rowOff>19050</xdr:rowOff>
    </xdr:from>
    <xdr:to>
      <xdr:col>13</xdr:col>
      <xdr:colOff>527050</xdr:colOff>
      <xdr:row>21</xdr:row>
      <xdr:rowOff>82550</xdr:rowOff>
    </xdr:to>
    <xdr:graphicFrame macro="">
      <xdr:nvGraphicFramePr>
        <xdr:cNvPr id="14" name="Chart 13">
          <a:extLst>
            <a:ext uri="{FF2B5EF4-FFF2-40B4-BE49-F238E27FC236}">
              <a16:creationId xmlns:a16="http://schemas.microsoft.com/office/drawing/2014/main" id="{00000000-0008-0000-0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6</xdr:row>
      <xdr:rowOff>120650</xdr:rowOff>
    </xdr:from>
    <xdr:to>
      <xdr:col>1</xdr:col>
      <xdr:colOff>336550</xdr:colOff>
      <xdr:row>13</xdr:row>
      <xdr:rowOff>88900</xdr:rowOff>
    </xdr:to>
    <mc:AlternateContent xmlns:mc="http://schemas.openxmlformats.org/markup-compatibility/2006">
      <mc:Choice xmlns:a14="http://schemas.microsoft.com/office/drawing/2010/main" Requires="a14">
        <xdr:graphicFrame macro="">
          <xdr:nvGraphicFramePr>
            <xdr:cNvPr id="15" name="Location">
              <a:extLst>
                <a:ext uri="{FF2B5EF4-FFF2-40B4-BE49-F238E27FC236}">
                  <a16:creationId xmlns:a16="http://schemas.microsoft.com/office/drawing/2014/main" id="{BB3165CE-CFA3-4EF3-B490-CA85FADAA0BD}"/>
                </a:ext>
              </a:extLst>
            </xdr:cNvPr>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dr:sp macro="" textlink="">
          <xdr:nvSpPr>
            <xdr:cNvPr id="0" name=""/>
            <xdr:cNvSpPr>
              <a:spLocks noTextEdit="1"/>
            </xdr:cNvSpPr>
          </xdr:nvSpPr>
          <xdr:spPr>
            <a:xfrm>
              <a:off x="0" y="1225550"/>
              <a:ext cx="946150" cy="143510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xdr:col>
      <xdr:colOff>381000</xdr:colOff>
      <xdr:row>3</xdr:row>
      <xdr:rowOff>152400</xdr:rowOff>
    </xdr:from>
    <xdr:to>
      <xdr:col>8</xdr:col>
      <xdr:colOff>133350</xdr:colOff>
      <xdr:row>15</xdr:row>
      <xdr:rowOff>127000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266700</xdr:colOff>
      <xdr:row>3</xdr:row>
      <xdr:rowOff>107950</xdr:rowOff>
    </xdr:from>
    <xdr:to>
      <xdr:col>16</xdr:col>
      <xdr:colOff>139700</xdr:colOff>
      <xdr:row>15</xdr:row>
      <xdr:rowOff>152400</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lory Chiamaka Emeh" refreshedDate="45850.556634606481" createdVersion="7" refreshedVersion="7" minRefreshableVersion="3" recordCount="7" xr:uid="{F1AC4FC5-379C-4727-8BE5-EF8392FC35F6}">
  <cacheSource type="worksheet">
    <worksheetSource name="FraudAlerts"/>
  </cacheSource>
  <cacheFields count="11">
    <cacheField name="AlertId" numFmtId="0">
      <sharedItems containsSemiMixedTypes="0" containsString="0" containsNumber="1" containsInteger="1" minValue="1" maxValue="7"/>
    </cacheField>
    <cacheField name="Sender" numFmtId="0">
      <sharedItems count="5">
        <s v="Emeh Glory Chiamaka"/>
        <s v="Hassan Bashir"/>
        <s v="Enoch itibo"/>
        <s v="Etiro folic"/>
        <s v="emehg"/>
      </sharedItems>
    </cacheField>
    <cacheField name="Receiver" numFmtId="0">
      <sharedItems/>
    </cacheField>
    <cacheField name="Amount" numFmtId="0">
      <sharedItems containsSemiMixedTypes="0" containsString="0" containsNumber="1" containsInteger="1" minValue="2000" maxValue="30000" count="3">
        <n v="30000"/>
        <n v="2000"/>
        <n v="3000"/>
      </sharedItems>
    </cacheField>
    <cacheField name="Bank" numFmtId="0">
      <sharedItems/>
    </cacheField>
    <cacheField name="AccountNumber" numFmtId="0">
      <sharedItems/>
    </cacheField>
    <cacheField name="Reason" numFmtId="0">
      <sharedItems/>
    </cacheField>
    <cacheField name="Time" numFmtId="22">
      <sharedItems containsSemiMixedTypes="0" containsNonDate="0" containsDate="1" containsString="0" minDate="2025-06-30T13:54:42" maxDate="2025-07-12T12:38:02"/>
    </cacheField>
    <cacheField name="FraudScore" numFmtId="0">
      <sharedItems containsSemiMixedTypes="0" containsString="0" containsNumber="1" minValue="9.5899999999999999E-2" maxValue="0.2442"/>
    </cacheField>
    <cacheField name="Location" numFmtId="0">
      <sharedItems containsNonDate="0" containsString="0" containsBlank="1"/>
    </cacheField>
    <cacheField name="Device"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lory Chiamaka Emeh" refreshedDate="45850.556635069443" createdVersion="7" refreshedVersion="7" minRefreshableVersion="3" recordCount="11" xr:uid="{38631EC9-93DD-4452-90F8-B0C4D1AA591E}">
  <cacheSource type="worksheet">
    <worksheetSource name="Transactions"/>
  </cacheSource>
  <cacheFields count="11">
    <cacheField name="Id" numFmtId="0">
      <sharedItems containsSemiMixedTypes="0" containsString="0" containsNumber="1" containsInteger="1" minValue="1" maxValue="11"/>
    </cacheField>
    <cacheField name="Sender" numFmtId="0">
      <sharedItems/>
    </cacheField>
    <cacheField name="Receiver" numFmtId="0">
      <sharedItems/>
    </cacheField>
    <cacheField name="Amount" numFmtId="0">
      <sharedItems containsSemiMixedTypes="0" containsString="0" containsNumber="1" containsInteger="1" minValue="2000" maxValue="50000"/>
    </cacheField>
    <cacheField name="Bank" numFmtId="0">
      <sharedItems count="9">
        <s v="Polaris Bank"/>
        <s v="First Bank"/>
        <s v="Globulus"/>
        <s v="Globulus Bank"/>
        <s v="Sterling Bank"/>
        <s v="KeyStone Bank"/>
        <s v="stanbic ibtc"/>
        <s v="polaris"/>
        <s v="Signature bank"/>
      </sharedItems>
    </cacheField>
    <cacheField name="AccountNumber" numFmtId="0">
      <sharedItems/>
    </cacheField>
    <cacheField name="Location" numFmtId="0">
      <sharedItems count="4">
        <s v="Abuja"/>
        <s v="Lagos"/>
        <s v="PH"/>
        <s v="Enugu"/>
      </sharedItems>
    </cacheField>
    <cacheField name="Device" numFmtId="0">
      <sharedItems/>
    </cacheField>
    <cacheField name="Time" numFmtId="22">
      <sharedItems containsSemiMixedTypes="0" containsNonDate="0" containsDate="1" containsString="0" minDate="2025-06-30T13:54:42" maxDate="2025-07-12T13:18:04"/>
    </cacheField>
    <cacheField name="IsFraud" numFmtId="0">
      <sharedItems count="2">
        <b v="1"/>
        <b v="0"/>
      </sharedItems>
    </cacheField>
    <cacheField name="FraudScore" numFmtId="0">
      <sharedItems containsSemiMixedTypes="0" containsString="0" containsNumber="1" minValue="9.5899999999999999E-2" maxValue="0.244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lory Chiamaka Emeh" refreshedDate="45850.556635532404" createdVersion="7" refreshedVersion="7" minRefreshableVersion="3" recordCount="11" xr:uid="{209EC718-A30D-4181-AEF7-6F5C4168E6F6}">
  <cacheSource type="worksheet">
    <worksheetSource name="Transactions"/>
  </cacheSource>
  <cacheFields count="11">
    <cacheField name="Id" numFmtId="0">
      <sharedItems containsSemiMixedTypes="0" containsString="0" containsNumber="1" containsInteger="1" minValue="1" maxValue="11"/>
    </cacheField>
    <cacheField name="Sender" numFmtId="0">
      <sharedItems count="6">
        <s v="Emeh Glory Chiamaka"/>
        <s v="Odorotoya Etim"/>
        <s v="Hassan Bashir"/>
        <s v="Enoch itibo"/>
        <s v="Etiro folic"/>
        <s v="emehg"/>
      </sharedItems>
    </cacheField>
    <cacheField name="Receiver" numFmtId="0">
      <sharedItems/>
    </cacheField>
    <cacheField name="Amount" numFmtId="0">
      <sharedItems containsSemiMixedTypes="0" containsString="0" containsNumber="1" containsInteger="1" minValue="2000" maxValue="50000"/>
    </cacheField>
    <cacheField name="Bank" numFmtId="0">
      <sharedItems/>
    </cacheField>
    <cacheField name="AccountNumber" numFmtId="0">
      <sharedItems/>
    </cacheField>
    <cacheField name="Location" numFmtId="0">
      <sharedItems count="4">
        <s v="Abuja"/>
        <s v="Lagos"/>
        <s v="PH"/>
        <s v="Enugu"/>
      </sharedItems>
    </cacheField>
    <cacheField name="Device" numFmtId="0">
      <sharedItems/>
    </cacheField>
    <cacheField name="Time" numFmtId="22">
      <sharedItems containsSemiMixedTypes="0" containsNonDate="0" containsDate="1" containsString="0" minDate="2025-06-30T13:54:42" maxDate="2025-07-12T13:18:04" count="11">
        <d v="2025-06-30T13:54:42"/>
        <d v="2025-06-30T13:58:41"/>
        <d v="2025-06-30T14:03:14"/>
        <d v="2025-06-30T14:04:48"/>
        <d v="2025-06-30T14:07:50"/>
        <d v="2025-07-05T20:25:59"/>
        <d v="2025-07-12T00:05:47"/>
        <d v="2025-07-12T01:06:06"/>
        <d v="2025-07-12T12:28:56"/>
        <d v="2025-07-12T12:38:02"/>
        <d v="2025-07-12T13:18:04"/>
      </sharedItems>
    </cacheField>
    <cacheField name="IsFraud" numFmtId="0">
      <sharedItems/>
    </cacheField>
    <cacheField name="FraudScore" numFmtId="0">
      <sharedItems containsSemiMixedTypes="0" containsString="0" containsNumber="1" minValue="9.5899999999999999E-2" maxValue="0.2442"/>
    </cacheField>
  </cacheFields>
  <extLst>
    <ext xmlns:x14="http://schemas.microsoft.com/office/spreadsheetml/2009/9/main" uri="{725AE2AE-9491-48be-B2B4-4EB974FC3084}">
      <x14:pivotCacheDefinition pivotCacheId="14516242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n v="1"/>
    <x v="0"/>
    <s v="Offioni Ogbuka"/>
    <x v="0"/>
    <s v="Polaris Bank"/>
    <s v="13324546"/>
    <s v="Unusual transaction amount"/>
    <d v="2025-06-30T13:54:42"/>
    <n v="0.1211"/>
    <m/>
    <m/>
  </r>
  <r>
    <n v="2"/>
    <x v="1"/>
    <s v="Ogungbu Chikaodi"/>
    <x v="0"/>
    <s v="Sterling Bank"/>
    <s v="23435346"/>
    <s v="Unusual transaction amount"/>
    <d v="2025-06-30T14:07:50"/>
    <n v="9.5899999999999999E-2"/>
    <m/>
    <m/>
  </r>
  <r>
    <n v="3"/>
    <x v="0"/>
    <s v="Akaolisa Hearts"/>
    <x v="1"/>
    <s v="KeyStone Bank"/>
    <s v="6354686889"/>
    <s v="Unusual transaction amount"/>
    <d v="2025-07-05T20:25:59"/>
    <n v="0.2442"/>
    <m/>
    <m/>
  </r>
  <r>
    <n v="4"/>
    <x v="2"/>
    <s v="Anaechi ibe"/>
    <x v="2"/>
    <s v="stanbic ibtc"/>
    <s v="456799009"/>
    <s v="Unusual transaction amount"/>
    <d v="2025-07-12T00:05:47"/>
    <n v="0.2387"/>
    <m/>
    <m/>
  </r>
  <r>
    <n v="5"/>
    <x v="3"/>
    <s v="Abia Data"/>
    <x v="1"/>
    <s v="polaris"/>
    <s v="244353456"/>
    <s v="Unusual transaction amount"/>
    <d v="2025-07-12T01:06:06"/>
    <n v="0.17480000000000001"/>
    <m/>
    <m/>
  </r>
  <r>
    <n v="6"/>
    <x v="4"/>
    <s v="Udoka Edebe"/>
    <x v="2"/>
    <s v="KeyStone Bank"/>
    <s v="24453654768"/>
    <s v="Unusual transaction amount"/>
    <d v="2025-07-12T12:28:56"/>
    <n v="0.21329999999999999"/>
    <m/>
    <m/>
  </r>
  <r>
    <n v="7"/>
    <x v="4"/>
    <s v="Nwankudu Chibuzor"/>
    <x v="1"/>
    <s v="Signature bank"/>
    <s v="1234567890"/>
    <s v="Unusual transaction amount"/>
    <d v="2025-07-12T12:38:02"/>
    <n v="0.20280000000000001"/>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
  <r>
    <n v="1"/>
    <s v="Emeh Glory Chiamaka"/>
    <s v="Offioni Ogbuka"/>
    <n v="30000"/>
    <x v="0"/>
    <s v="13324546"/>
    <x v="0"/>
    <s v="Emeh_GLory_C"/>
    <d v="2025-06-30T13:54:42"/>
    <x v="0"/>
    <n v="0.1211"/>
  </r>
  <r>
    <n v="2"/>
    <s v="Odorotoya Etim"/>
    <s v="Etim Uduak"/>
    <n v="45000"/>
    <x v="1"/>
    <s v="12344235436"/>
    <x v="1"/>
    <s v="Emeh_GLory_C"/>
    <d v="2025-06-30T13:58:41"/>
    <x v="1"/>
    <n v="0.1125"/>
  </r>
  <r>
    <n v="3"/>
    <s v="Emeh Glory Chiamaka"/>
    <s v="Otubo Ifeoma"/>
    <n v="45000"/>
    <x v="2"/>
    <s v="123534525"/>
    <x v="2"/>
    <s v="Emeh_GLory_C"/>
    <d v="2025-06-30T14:03:14"/>
    <x v="1"/>
    <n v="0.1268"/>
  </r>
  <r>
    <n v="4"/>
    <s v="Emeh Glory Chiamaka"/>
    <s v="Idorenyin Uduak"/>
    <n v="45000"/>
    <x v="3"/>
    <s v="245454657778"/>
    <x v="3"/>
    <s v="Emeh_GLory_C"/>
    <d v="2025-06-30T14:04:48"/>
    <x v="1"/>
    <n v="0.1452"/>
  </r>
  <r>
    <n v="5"/>
    <s v="Hassan Bashir"/>
    <s v="Ogungbu Chikaodi"/>
    <n v="30000"/>
    <x v="4"/>
    <s v="23435346"/>
    <x v="3"/>
    <s v="Emeh_GLory_C"/>
    <d v="2025-06-30T14:07:50"/>
    <x v="0"/>
    <n v="9.5899999999999999E-2"/>
  </r>
  <r>
    <n v="6"/>
    <s v="Emeh Glory Chiamaka"/>
    <s v="Akaolisa Hearts"/>
    <n v="2000"/>
    <x v="5"/>
    <s v="6354686889"/>
    <x v="2"/>
    <s v="Emeh_GLory_C"/>
    <d v="2025-07-05T20:25:59"/>
    <x v="0"/>
    <n v="0.2442"/>
  </r>
  <r>
    <n v="7"/>
    <s v="Enoch itibo"/>
    <s v="Anaechi ibe"/>
    <n v="3000"/>
    <x v="6"/>
    <s v="456799009"/>
    <x v="0"/>
    <s v="Emeh_GLory_C"/>
    <d v="2025-07-12T00:05:47"/>
    <x v="0"/>
    <n v="0.2387"/>
  </r>
  <r>
    <n v="8"/>
    <s v="Etiro folic"/>
    <s v="Abia Data"/>
    <n v="2000"/>
    <x v="7"/>
    <s v="244353456"/>
    <x v="0"/>
    <s v="Emeh_GLory_C"/>
    <d v="2025-07-12T01:06:06"/>
    <x v="0"/>
    <n v="0.17480000000000001"/>
  </r>
  <r>
    <n v="9"/>
    <s v="emehg"/>
    <s v="Udoka Edebe"/>
    <n v="3000"/>
    <x v="5"/>
    <s v="24453654768"/>
    <x v="2"/>
    <s v="Emeh_GLory_C"/>
    <d v="2025-07-12T12:28:56"/>
    <x v="0"/>
    <n v="0.21329999999999999"/>
  </r>
  <r>
    <n v="10"/>
    <s v="emehg"/>
    <s v="Nwankudu Chibuzor"/>
    <n v="2000"/>
    <x v="8"/>
    <s v="1234567890"/>
    <x v="1"/>
    <s v="Emeh_GLory_C"/>
    <d v="2025-07-12T12:38:02"/>
    <x v="0"/>
    <n v="0.20280000000000001"/>
  </r>
  <r>
    <n v="11"/>
    <s v="emehg"/>
    <s v="Ekeke Kenneth Uche"/>
    <n v="50000"/>
    <x v="1"/>
    <s v="3454777314"/>
    <x v="3"/>
    <s v="Emeh_GLory_C"/>
    <d v="2025-07-12T13:18:04"/>
    <x v="1"/>
    <n v="0.13619999999999999"/>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
  <r>
    <n v="1"/>
    <x v="0"/>
    <s v="Offioni Ogbuka"/>
    <n v="30000"/>
    <s v="Polaris Bank"/>
    <s v="13324546"/>
    <x v="0"/>
    <s v="Emeh_GLory_C"/>
    <x v="0"/>
    <b v="1"/>
    <n v="0.1211"/>
  </r>
  <r>
    <n v="2"/>
    <x v="1"/>
    <s v="Etim Uduak"/>
    <n v="45000"/>
    <s v="First Bank"/>
    <s v="12344235436"/>
    <x v="1"/>
    <s v="Emeh_GLory_C"/>
    <x v="1"/>
    <b v="0"/>
    <n v="0.1125"/>
  </r>
  <r>
    <n v="3"/>
    <x v="0"/>
    <s v="Otubo Ifeoma"/>
    <n v="45000"/>
    <s v="Globulus"/>
    <s v="123534525"/>
    <x v="2"/>
    <s v="Emeh_GLory_C"/>
    <x v="2"/>
    <b v="0"/>
    <n v="0.1268"/>
  </r>
  <r>
    <n v="4"/>
    <x v="0"/>
    <s v="Idorenyin Uduak"/>
    <n v="45000"/>
    <s v="Globulus Bank"/>
    <s v="245454657778"/>
    <x v="3"/>
    <s v="Emeh_GLory_C"/>
    <x v="3"/>
    <b v="0"/>
    <n v="0.1452"/>
  </r>
  <r>
    <n v="5"/>
    <x v="2"/>
    <s v="Ogungbu Chikaodi"/>
    <n v="30000"/>
    <s v="Sterling Bank"/>
    <s v="23435346"/>
    <x v="3"/>
    <s v="Emeh_GLory_C"/>
    <x v="4"/>
    <b v="1"/>
    <n v="9.5899999999999999E-2"/>
  </r>
  <r>
    <n v="6"/>
    <x v="0"/>
    <s v="Akaolisa Hearts"/>
    <n v="2000"/>
    <s v="KeyStone Bank"/>
    <s v="6354686889"/>
    <x v="2"/>
    <s v="Emeh_GLory_C"/>
    <x v="5"/>
    <b v="1"/>
    <n v="0.2442"/>
  </r>
  <r>
    <n v="7"/>
    <x v="3"/>
    <s v="Anaechi ibe"/>
    <n v="3000"/>
    <s v="stanbic ibtc"/>
    <s v="456799009"/>
    <x v="0"/>
    <s v="Emeh_GLory_C"/>
    <x v="6"/>
    <b v="1"/>
    <n v="0.2387"/>
  </r>
  <r>
    <n v="8"/>
    <x v="4"/>
    <s v="Abia Data"/>
    <n v="2000"/>
    <s v="polaris"/>
    <s v="244353456"/>
    <x v="0"/>
    <s v="Emeh_GLory_C"/>
    <x v="7"/>
    <b v="1"/>
    <n v="0.17480000000000001"/>
  </r>
  <r>
    <n v="9"/>
    <x v="5"/>
    <s v="Udoka Edebe"/>
    <n v="3000"/>
    <s v="KeyStone Bank"/>
    <s v="24453654768"/>
    <x v="2"/>
    <s v="Emeh_GLory_C"/>
    <x v="8"/>
    <b v="1"/>
    <n v="0.21329999999999999"/>
  </r>
  <r>
    <n v="10"/>
    <x v="5"/>
    <s v="Nwankudu Chibuzor"/>
    <n v="2000"/>
    <s v="Signature bank"/>
    <s v="1234567890"/>
    <x v="1"/>
    <s v="Emeh_GLory_C"/>
    <x v="9"/>
    <b v="1"/>
    <n v="0.20280000000000001"/>
  </r>
  <r>
    <n v="11"/>
    <x v="5"/>
    <s v="Ekeke Kenneth Uche"/>
    <n v="50000"/>
    <s v="First Bank"/>
    <s v="3454777314"/>
    <x v="3"/>
    <s v="Emeh_GLory_C"/>
    <x v="10"/>
    <b v="0"/>
    <n v="0.1361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2387C8D-2816-4AA6-9D7E-616EDCB8D599}" name="PivotTable4"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 rowHeaderCaption="Time">
  <location ref="H12:I24" firstHeaderRow="1" firstDataRow="1" firstDataCol="1"/>
  <pivotFields count="11">
    <pivotField showAll="0"/>
    <pivotField showAll="0"/>
    <pivotField showAll="0"/>
    <pivotField dataField="1" showAll="0"/>
    <pivotField showAll="0"/>
    <pivotField showAll="0"/>
    <pivotField showAll="0">
      <items count="5">
        <item x="0"/>
        <item x="3"/>
        <item x="1"/>
        <item x="2"/>
        <item t="default"/>
      </items>
    </pivotField>
    <pivotField showAll="0"/>
    <pivotField axis="axisRow" numFmtId="22" showAll="0">
      <items count="12">
        <item x="0"/>
        <item x="1"/>
        <item x="2"/>
        <item x="3"/>
        <item x="4"/>
        <item x="5"/>
        <item x="6"/>
        <item x="7"/>
        <item x="8"/>
        <item x="9"/>
        <item x="10"/>
        <item t="default"/>
      </items>
    </pivotField>
    <pivotField showAll="0"/>
    <pivotField showAll="0"/>
  </pivotFields>
  <rowFields count="1">
    <field x="8"/>
  </rowFields>
  <rowItems count="12">
    <i>
      <x/>
    </i>
    <i>
      <x v="1"/>
    </i>
    <i>
      <x v="2"/>
    </i>
    <i>
      <x v="3"/>
    </i>
    <i>
      <x v="4"/>
    </i>
    <i>
      <x v="5"/>
    </i>
    <i>
      <x v="6"/>
    </i>
    <i>
      <x v="7"/>
    </i>
    <i>
      <x v="8"/>
    </i>
    <i>
      <x v="9"/>
    </i>
    <i>
      <x v="10"/>
    </i>
    <i t="grand">
      <x/>
    </i>
  </rowItems>
  <colItems count="1">
    <i/>
  </colItems>
  <dataFields count="1">
    <dataField name="Sum of Amount" fld="3" baseField="0" baseItem="0"/>
  </dataFields>
  <chartFormats count="3">
    <chartFormat chart="4"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5" format="3">
      <pivotArea type="data" outline="0" fieldPosition="0">
        <references count="2">
          <reference field="4294967294" count="1" selected="0">
            <x v="0"/>
          </reference>
          <reference field="8"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2634570-BAA4-4066-9FF9-042B51856473}" name="PivotTable3"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rowHeaderCaption="Location">
  <location ref="D12:F17" firstHeaderRow="0" firstDataRow="1" firstDataCol="1"/>
  <pivotFields count="11">
    <pivotField dataField="1" showAll="0"/>
    <pivotField showAll="0"/>
    <pivotField showAll="0"/>
    <pivotField dataField="1" showAll="0"/>
    <pivotField showAll="0"/>
    <pivotField showAll="0"/>
    <pivotField axis="axisRow" showAll="0">
      <items count="5">
        <item x="0"/>
        <item x="3"/>
        <item x="1"/>
        <item x="2"/>
        <item t="default"/>
      </items>
    </pivotField>
    <pivotField showAll="0"/>
    <pivotField numFmtId="22" showAll="0"/>
    <pivotField showAll="0"/>
    <pivotField showAll="0"/>
  </pivotFields>
  <rowFields count="1">
    <field x="6"/>
  </rowFields>
  <rowItems count="5">
    <i>
      <x/>
    </i>
    <i>
      <x v="1"/>
    </i>
    <i>
      <x v="2"/>
    </i>
    <i>
      <x v="3"/>
    </i>
    <i t="grand">
      <x/>
    </i>
  </rowItems>
  <colFields count="1">
    <field x="-2"/>
  </colFields>
  <colItems count="2">
    <i>
      <x/>
    </i>
    <i i="1">
      <x v="1"/>
    </i>
  </colItems>
  <dataFields count="2">
    <dataField name="Count of Id" fld="0" subtotal="count" baseField="6" baseItem="0"/>
    <dataField name="Sum of Amount"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259CD64-ADE0-4E4D-8F74-51209A3D4A21}" name="PivotTable2"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rowHeaderCaption="Location">
  <location ref="A12:B17" firstHeaderRow="1" firstDataRow="1" firstDataCol="1"/>
  <pivotFields count="11">
    <pivotField dataField="1" showAll="0"/>
    <pivotField showAll="0"/>
    <pivotField showAll="0"/>
    <pivotField showAll="0"/>
    <pivotField showAll="0"/>
    <pivotField showAll="0"/>
    <pivotField axis="axisRow" showAll="0">
      <items count="5">
        <item x="0"/>
        <item x="3"/>
        <item x="1"/>
        <item x="2"/>
        <item t="default"/>
      </items>
    </pivotField>
    <pivotField showAll="0"/>
    <pivotField numFmtId="22" showAll="0"/>
    <pivotField showAll="0"/>
    <pivotField showAll="0"/>
  </pivotFields>
  <rowFields count="1">
    <field x="6"/>
  </rowFields>
  <rowItems count="5">
    <i>
      <x/>
    </i>
    <i>
      <x v="1"/>
    </i>
    <i>
      <x v="2"/>
    </i>
    <i>
      <x v="3"/>
    </i>
    <i t="grand">
      <x/>
    </i>
  </rowItems>
  <colItems count="1">
    <i/>
  </colItems>
  <dataFields count="1">
    <dataField name="Count of Id" fld="0" subtotal="count" baseField="6"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148041E-D05C-41BD-9371-96498933274F}" name="PivotTable1"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rowHeaderCaption="Location">
  <location ref="A3:B8" firstHeaderRow="1" firstDataRow="1" firstDataCol="1"/>
  <pivotFields count="11">
    <pivotField showAll="0"/>
    <pivotField showAll="0"/>
    <pivotField showAll="0"/>
    <pivotField showAll="0"/>
    <pivotField showAll="0"/>
    <pivotField showAll="0"/>
    <pivotField axis="axisRow" showAll="0">
      <items count="5">
        <item x="0"/>
        <item x="3"/>
        <item x="1"/>
        <item x="2"/>
        <item t="default"/>
      </items>
    </pivotField>
    <pivotField showAll="0"/>
    <pivotField numFmtId="22" showAll="0"/>
    <pivotField showAll="0"/>
    <pivotField dataField="1" showAll="0"/>
  </pivotFields>
  <rowFields count="1">
    <field x="6"/>
  </rowFields>
  <rowItems count="5">
    <i>
      <x/>
    </i>
    <i>
      <x v="1"/>
    </i>
    <i>
      <x v="2"/>
    </i>
    <i>
      <x v="3"/>
    </i>
    <i t="grand">
      <x/>
    </i>
  </rowItems>
  <colItems count="1">
    <i/>
  </colItems>
  <dataFields count="1">
    <dataField name="Sum of FraudScore" fld="10"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5763890-4CFE-4003-8493-70314E957F0B}" name="PivotTable7"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rowHeaderCaption="Sender" colHeaderCaption="Amount">
  <location ref="A32:E39" firstHeaderRow="1" firstDataRow="2" firstDataCol="1"/>
  <pivotFields count="11">
    <pivotField showAll="0"/>
    <pivotField axis="axisRow" showAll="0">
      <items count="6">
        <item x="0"/>
        <item x="1"/>
        <item x="2"/>
        <item x="3"/>
        <item x="4"/>
        <item t="default"/>
      </items>
    </pivotField>
    <pivotField showAll="0"/>
    <pivotField axis="axisCol" showAll="0">
      <items count="4">
        <item x="1"/>
        <item x="0"/>
        <item x="2"/>
        <item t="default"/>
      </items>
    </pivotField>
    <pivotField showAll="0"/>
    <pivotField showAll="0"/>
    <pivotField showAll="0"/>
    <pivotField numFmtId="22" showAll="0"/>
    <pivotField dataField="1" showAll="0"/>
    <pivotField showAll="0"/>
    <pivotField showAll="0"/>
  </pivotFields>
  <rowFields count="1">
    <field x="1"/>
  </rowFields>
  <rowItems count="6">
    <i>
      <x/>
    </i>
    <i>
      <x v="1"/>
    </i>
    <i>
      <x v="2"/>
    </i>
    <i>
      <x v="3"/>
    </i>
    <i>
      <x v="4"/>
    </i>
    <i t="grand">
      <x/>
    </i>
  </rowItems>
  <colFields count="1">
    <field x="3"/>
  </colFields>
  <colItems count="4">
    <i>
      <x/>
    </i>
    <i>
      <x v="1"/>
    </i>
    <i>
      <x v="2"/>
    </i>
    <i t="grand">
      <x/>
    </i>
  </colItems>
  <dataFields count="1">
    <dataField name="Sum of FraudScore"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3ADA021-9C95-4AD0-A904-191AF31C0F3A}" name="PivotTable5"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rowHeaderCaption="IsFraud" colHeaderCaption="Location">
  <location ref="A23:F27" firstHeaderRow="1" firstDataRow="2" firstDataCol="1"/>
  <pivotFields count="11">
    <pivotField showAll="0"/>
    <pivotField showAll="0"/>
    <pivotField dataField="1" showAll="0"/>
    <pivotField showAll="0"/>
    <pivotField axis="axisRow" showAll="0">
      <items count="10">
        <item x="1"/>
        <item x="2"/>
        <item x="3"/>
        <item x="5"/>
        <item x="0"/>
        <item x="4"/>
        <item x="6"/>
        <item x="7"/>
        <item x="8"/>
        <item t="default"/>
      </items>
    </pivotField>
    <pivotField showAll="0"/>
    <pivotField axis="axisCol" showAll="0">
      <items count="5">
        <item x="0"/>
        <item x="3"/>
        <item x="1"/>
        <item x="2"/>
        <item t="default"/>
      </items>
    </pivotField>
    <pivotField showAll="0"/>
    <pivotField numFmtId="22" showAll="0"/>
    <pivotField axis="axisRow" showAll="0">
      <items count="3">
        <item sd="0" x="1"/>
        <item sd="0" x="0"/>
        <item t="default" sd="0"/>
      </items>
    </pivotField>
    <pivotField showAll="0"/>
  </pivotFields>
  <rowFields count="2">
    <field x="9"/>
    <field x="4"/>
  </rowFields>
  <rowItems count="3">
    <i>
      <x/>
    </i>
    <i>
      <x v="1"/>
    </i>
    <i t="grand">
      <x/>
    </i>
  </rowItems>
  <colFields count="1">
    <field x="6"/>
  </colFields>
  <colItems count="5">
    <i>
      <x/>
    </i>
    <i>
      <x v="1"/>
    </i>
    <i>
      <x v="2"/>
    </i>
    <i>
      <x v="3"/>
    </i>
    <i t="grand">
      <x/>
    </i>
  </colItems>
  <dataFields count="1">
    <dataField name="Count of Receiver" fld="2" subtotal="count" baseField="0" baseItem="0"/>
  </dataFields>
  <chartFormats count="4">
    <chartFormat chart="2" format="8" series="1">
      <pivotArea type="data" outline="0" fieldPosition="0">
        <references count="2">
          <reference field="4294967294" count="1" selected="0">
            <x v="0"/>
          </reference>
          <reference field="6" count="1" selected="0">
            <x v="0"/>
          </reference>
        </references>
      </pivotArea>
    </chartFormat>
    <chartFormat chart="2" format="9" series="1">
      <pivotArea type="data" outline="0" fieldPosition="0">
        <references count="2">
          <reference field="4294967294" count="1" selected="0">
            <x v="0"/>
          </reference>
          <reference field="6" count="1" selected="0">
            <x v="1"/>
          </reference>
        </references>
      </pivotArea>
    </chartFormat>
    <chartFormat chart="2" format="10" series="1">
      <pivotArea type="data" outline="0" fieldPosition="0">
        <references count="2">
          <reference field="4294967294" count="1" selected="0">
            <x v="0"/>
          </reference>
          <reference field="6" count="1" selected="0">
            <x v="2"/>
          </reference>
        </references>
      </pivotArea>
    </chartFormat>
    <chartFormat chart="2" format="11" series="1">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653F0CE-8F19-4BFC-B959-D2AC6E1D2EB8}" name="PivotTable6"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rowHeaderCaption="Sender">
  <location ref="D3:E10" firstHeaderRow="1" firstDataRow="1" firstDataCol="1"/>
  <pivotFields count="11">
    <pivotField showAll="0"/>
    <pivotField axis="axisRow" showAll="0">
      <items count="7">
        <item x="0"/>
        <item x="2"/>
        <item x="1"/>
        <item x="3"/>
        <item x="4"/>
        <item x="5"/>
        <item t="default"/>
      </items>
    </pivotField>
    <pivotField showAll="0"/>
    <pivotField showAll="0"/>
    <pivotField showAll="0"/>
    <pivotField showAll="0"/>
    <pivotField showAll="0">
      <items count="5">
        <item x="0"/>
        <item x="3"/>
        <item x="1"/>
        <item x="2"/>
        <item t="default"/>
      </items>
    </pivotField>
    <pivotField showAll="0"/>
    <pivotField numFmtId="22" showAll="0"/>
    <pivotField showAll="0"/>
    <pivotField dataField="1" showAll="0"/>
  </pivotFields>
  <rowFields count="1">
    <field x="1"/>
  </rowFields>
  <rowItems count="7">
    <i>
      <x/>
    </i>
    <i>
      <x v="1"/>
    </i>
    <i>
      <x v="2"/>
    </i>
    <i>
      <x v="3"/>
    </i>
    <i>
      <x v="4"/>
    </i>
    <i>
      <x v="5"/>
    </i>
    <i t="grand">
      <x/>
    </i>
  </rowItems>
  <colItems count="1">
    <i/>
  </colItems>
  <dataFields count="1">
    <dataField name="Sum of FraudScore" fld="10"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2682640-DF61-4C2F-B71F-EA0F5412F5E7}" autoFormatId="16" applyNumberFormats="0" applyBorderFormats="0" applyFontFormats="0" applyPatternFormats="0" applyAlignmentFormats="0" applyWidthHeightFormats="0">
  <queryTableRefresh nextId="18">
    <queryTableFields count="11">
      <queryTableField id="1" name="Id" tableColumnId="1"/>
      <queryTableField id="2" name="Sender" tableColumnId="2"/>
      <queryTableField id="3" name="Receiver" tableColumnId="3"/>
      <queryTableField id="4" name="Amount" tableColumnId="4"/>
      <queryTableField id="10" name="Bank" tableColumnId="10"/>
      <queryTableField id="12" name="AccountNumber" tableColumnId="11"/>
      <queryTableField id="14" name="Location" tableColumnId="12"/>
      <queryTableField id="15" name="Device" tableColumnId="13"/>
      <queryTableField id="7" name="Time" tableColumnId="7"/>
      <queryTableField id="8" name="IsFraud" tableColumnId="8"/>
      <queryTableField id="9" name="FraudScor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1" xr16:uid="{7827F084-16C3-4FE1-AF30-42DB5F2E6BF5}" autoFormatId="16" applyNumberFormats="0" applyBorderFormats="0" applyFontFormats="0" applyPatternFormats="0" applyAlignmentFormats="0" applyWidthHeightFormats="0">
  <queryTableRefresh nextId="14">
    <queryTableFields count="11">
      <queryTableField id="1" name="AlertId" tableColumnId="1"/>
      <queryTableField id="2" name="Sender" tableColumnId="2"/>
      <queryTableField id="3" name="Receiver" tableColumnId="3"/>
      <queryTableField id="4" name="Amount" tableColumnId="4"/>
      <queryTableField id="10" name="Bank" tableColumnId="10"/>
      <queryTableField id="11" name="AccountNumber" tableColumnId="11"/>
      <queryTableField id="5" name="Reason" tableColumnId="5"/>
      <queryTableField id="6" name="Time" tableColumnId="6"/>
      <queryTableField id="7" name="FraudScore" tableColumnId="7"/>
      <queryTableField id="8" name="Location" tableColumnId="8"/>
      <queryTableField id="9" name="Devic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 xr10:uid="{197CB2DE-1354-4971-9182-465456CEA821}" sourceName="Location">
  <pivotTables>
    <pivotTable tabId="8" name="PivotTable1"/>
    <pivotTable tabId="8" name="PivotTable2"/>
    <pivotTable tabId="8" name="PivotTable3"/>
    <pivotTable tabId="8" name="PivotTable4"/>
    <pivotTable tabId="8" name="PivotTable6"/>
  </pivotTables>
  <data>
    <tabular pivotCacheId="1451624277">
      <items count="4">
        <i x="0" s="1"/>
        <i x="3"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ocation" xr10:uid="{CDDD5592-0D79-4C17-9845-8F0103997A5F}" cache="Slicer_Location" caption="Location"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3BC0865-D73A-46BF-8348-BE3DDB61F9DF}" name="Transactions" displayName="Transactions" ref="A1:K13" tableType="queryTable" totalsRowShown="0">
  <autoFilter ref="A1:K13" xr:uid="{A3BC0865-D73A-46BF-8348-BE3DDB61F9DF}"/>
  <tableColumns count="11">
    <tableColumn id="1" xr3:uid="{A9C7F0FB-D1E1-4C11-A084-F8A2A645C6CC}" uniqueName="1" name="Id" queryTableFieldId="1"/>
    <tableColumn id="2" xr3:uid="{0DC998EE-C17F-4B5E-A5C2-74CECFD6DEA0}" uniqueName="2" name="Sender" queryTableFieldId="2" dataDxfId="14"/>
    <tableColumn id="3" xr3:uid="{9E44F5D2-88B2-4D6D-AE3A-A104592173C0}" uniqueName="3" name="Receiver" queryTableFieldId="3" dataDxfId="13"/>
    <tableColumn id="4" xr3:uid="{091690A6-45FA-44BC-868E-351031D8422F}" uniqueName="4" name="Amount" queryTableFieldId="4"/>
    <tableColumn id="10" xr3:uid="{5CF9FF08-747D-49AC-8B5B-F02883D2CFB0}" uniqueName="10" name="Bank" queryTableFieldId="10" dataDxfId="12"/>
    <tableColumn id="11" xr3:uid="{F421AEBB-C9B6-4E57-B01B-7DE99CF77EC0}" uniqueName="11" name="AccountNumber" queryTableFieldId="12" dataDxfId="11"/>
    <tableColumn id="12" xr3:uid="{1B676F9A-733D-42E4-ABF7-7211418E68E0}" uniqueName="12" name="Location" queryTableFieldId="14" dataDxfId="10"/>
    <tableColumn id="13" xr3:uid="{C5147342-8D87-4FCF-AF8A-5636E4077E28}" uniqueName="13" name="Device" queryTableFieldId="15" dataDxfId="9"/>
    <tableColumn id="7" xr3:uid="{7D20BED8-A32D-46E9-B62A-8EEDD87343C5}" uniqueName="7" name="Time" queryTableFieldId="7" dataDxfId="8"/>
    <tableColumn id="8" xr3:uid="{8FA04EBB-D923-4583-ACFD-9846B6966F6C}" uniqueName="8" name="IsFraud" queryTableFieldId="8"/>
    <tableColumn id="9" xr3:uid="{E05474B8-A5F7-43E2-9777-2F371076429E}" uniqueName="9" name="FraudScore" queryTableFieldId="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857358B-E4F2-4F72-97F2-8BC0963DA3E1}" name="FraudAlerts" displayName="FraudAlerts" ref="A1:K9" tableType="queryTable" totalsRowShown="0">
  <autoFilter ref="A1:K9" xr:uid="{0857358B-E4F2-4F72-97F2-8BC0963DA3E1}"/>
  <tableColumns count="11">
    <tableColumn id="1" xr3:uid="{CC36AA9F-D97D-42F6-B356-DE6D47640F71}" uniqueName="1" name="AlertId" queryTableFieldId="1"/>
    <tableColumn id="2" xr3:uid="{767F1476-42E1-4C6C-9A6D-EC1CDEEF9EA8}" uniqueName="2" name="Sender" queryTableFieldId="2" dataDxfId="7"/>
    <tableColumn id="3" xr3:uid="{27E09B37-2F82-4737-8B6E-653B069C916C}" uniqueName="3" name="Receiver" queryTableFieldId="3" dataDxfId="6"/>
    <tableColumn id="4" xr3:uid="{3068F0B5-2300-4B56-B2CC-3AF2B1203991}" uniqueName="4" name="Amount" queryTableFieldId="4"/>
    <tableColumn id="10" xr3:uid="{EAA9FA9E-B70F-4293-B6E4-D5E2CF506F1E}" uniqueName="10" name="Bank" queryTableFieldId="10" dataDxfId="5"/>
    <tableColumn id="11" xr3:uid="{52305F0B-1E2E-4AB4-9F27-1585F693E1AE}" uniqueName="11" name="AccountNumber" queryTableFieldId="11" dataDxfId="4"/>
    <tableColumn id="5" xr3:uid="{3B40511F-D80C-4756-885F-E1BE0E3E1755}" uniqueName="5" name="Reason" queryTableFieldId="5" dataDxfId="3"/>
    <tableColumn id="6" xr3:uid="{936AA3A5-E3F7-43B2-A805-4AA687D10CED}" uniqueName="6" name="Time" queryTableFieldId="6" dataDxfId="2"/>
    <tableColumn id="7" xr3:uid="{2DD389B3-82C7-4F48-870D-2331C0522693}" uniqueName="7" name="FraudScore" queryTableFieldId="7"/>
    <tableColumn id="8" xr3:uid="{09F5B470-6BED-4FCC-8869-7988DB0D70DA}" uniqueName="8" name="Location" queryTableFieldId="8" dataDxfId="1"/>
    <tableColumn id="9" xr3:uid="{3E2AB535-8C19-4390-937E-BE0CD7B45C09}" uniqueName="9" name="Device" queryTableFieldId="9"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64EE9-5FB5-4F60-A826-28D3BBC3F63D}">
  <sheetPr codeName="Sheet1"/>
  <dimension ref="E4:H11"/>
  <sheetViews>
    <sheetView showGridLines="0" workbookViewId="0">
      <selection activeCell="G10" sqref="G10"/>
    </sheetView>
  </sheetViews>
  <sheetFormatPr defaultRowHeight="14.5" x14ac:dyDescent="0.35"/>
  <cols>
    <col min="6" max="6" width="22.90625" customWidth="1"/>
    <col min="7" max="7" width="19.26953125" bestFit="1" customWidth="1"/>
  </cols>
  <sheetData>
    <row r="4" spans="5:8" x14ac:dyDescent="0.35">
      <c r="F4" s="12" t="s">
        <v>13</v>
      </c>
      <c r="G4" s="12"/>
    </row>
    <row r="5" spans="5:8" x14ac:dyDescent="0.35">
      <c r="F5" s="2"/>
      <c r="G5" s="2"/>
    </row>
    <row r="6" spans="5:8" x14ac:dyDescent="0.35">
      <c r="F6" s="3" t="s">
        <v>0</v>
      </c>
      <c r="G6" s="3"/>
      <c r="H6" s="1"/>
    </row>
    <row r="7" spans="5:8" x14ac:dyDescent="0.35">
      <c r="F7" s="3" t="s">
        <v>1</v>
      </c>
      <c r="G7" s="3"/>
      <c r="H7" s="1"/>
    </row>
    <row r="8" spans="5:8" x14ac:dyDescent="0.35">
      <c r="F8" s="3" t="s">
        <v>2</v>
      </c>
      <c r="G8" s="3"/>
      <c r="H8" s="1"/>
    </row>
    <row r="9" spans="5:8" x14ac:dyDescent="0.35">
      <c r="F9" s="3" t="s">
        <v>16</v>
      </c>
      <c r="G9" s="3"/>
      <c r="H9" s="1"/>
    </row>
    <row r="10" spans="5:8" x14ac:dyDescent="0.35">
      <c r="F10" s="4" t="s">
        <v>17</v>
      </c>
      <c r="G10" s="4"/>
      <c r="H10" s="1"/>
    </row>
    <row r="11" spans="5:8" x14ac:dyDescent="0.35">
      <c r="E11" s="1"/>
      <c r="F11" s="1"/>
      <c r="G11" s="1"/>
      <c r="H11" s="1"/>
    </row>
  </sheetData>
  <mergeCells count="1">
    <mergeCell ref="F4:G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endTransactionAndRefresh">
                <anchor moveWithCells="1" sizeWithCells="1">
                  <from>
                    <xdr:col>5</xdr:col>
                    <xdr:colOff>69850</xdr:colOff>
                    <xdr:row>10</xdr:row>
                    <xdr:rowOff>152400</xdr:rowOff>
                  </from>
                  <to>
                    <xdr:col>5</xdr:col>
                    <xdr:colOff>1492250</xdr:colOff>
                    <xdr:row>12</xdr:row>
                    <xdr:rowOff>146050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6FE96-010A-4E77-9F28-67CF2246678F}">
  <sheetPr codeName="Sheet2"/>
  <dimension ref="A1:K13"/>
  <sheetViews>
    <sheetView workbookViewId="0">
      <selection activeCell="C17" sqref="C17"/>
    </sheetView>
  </sheetViews>
  <sheetFormatPr defaultRowHeight="14.5" x14ac:dyDescent="0.35"/>
  <cols>
    <col min="1" max="1" width="4.7265625" bestFit="1" customWidth="1"/>
    <col min="2" max="2" width="19.26953125" bestFit="1" customWidth="1"/>
    <col min="3" max="3" width="17.90625" bestFit="1" customWidth="1"/>
    <col min="4" max="4" width="9.90625" bestFit="1" customWidth="1"/>
    <col min="5" max="5" width="13.26953125" bestFit="1" customWidth="1"/>
    <col min="6" max="6" width="16.81640625" bestFit="1" customWidth="1"/>
    <col min="7" max="7" width="10.1796875" bestFit="1" customWidth="1"/>
    <col min="8" max="8" width="13.54296875" bestFit="1" customWidth="1"/>
    <col min="9" max="9" width="15.54296875" bestFit="1" customWidth="1"/>
    <col min="10" max="10" width="9.26953125" bestFit="1" customWidth="1"/>
    <col min="11" max="13" width="12.453125" bestFit="1" customWidth="1"/>
  </cols>
  <sheetData>
    <row r="1" spans="1:11" x14ac:dyDescent="0.35">
      <c r="A1" t="s">
        <v>5</v>
      </c>
      <c r="B1" t="s">
        <v>6</v>
      </c>
      <c r="C1" t="s">
        <v>7</v>
      </c>
      <c r="D1" t="s">
        <v>2</v>
      </c>
      <c r="E1" t="s">
        <v>18</v>
      </c>
      <c r="F1" t="s">
        <v>19</v>
      </c>
      <c r="G1" t="s">
        <v>3</v>
      </c>
      <c r="H1" t="s">
        <v>4</v>
      </c>
      <c r="I1" t="s">
        <v>8</v>
      </c>
      <c r="J1" t="s">
        <v>9</v>
      </c>
      <c r="K1" t="s">
        <v>10</v>
      </c>
    </row>
    <row r="2" spans="1:11" x14ac:dyDescent="0.35">
      <c r="A2">
        <v>1</v>
      </c>
      <c r="B2" s="5" t="s">
        <v>11</v>
      </c>
      <c r="C2" s="5" t="s">
        <v>22</v>
      </c>
      <c r="D2">
        <v>30000</v>
      </c>
      <c r="E2" s="5" t="s">
        <v>23</v>
      </c>
      <c r="F2" s="5" t="s">
        <v>24</v>
      </c>
      <c r="G2" s="5" t="s">
        <v>25</v>
      </c>
      <c r="H2" s="5" t="s">
        <v>21</v>
      </c>
      <c r="I2" s="6">
        <v>45838.579655173613</v>
      </c>
      <c r="J2" t="b">
        <v>1</v>
      </c>
      <c r="K2">
        <v>0.1211</v>
      </c>
    </row>
    <row r="3" spans="1:11" x14ac:dyDescent="0.35">
      <c r="A3">
        <v>2</v>
      </c>
      <c r="B3" s="5" t="s">
        <v>26</v>
      </c>
      <c r="C3" s="5" t="s">
        <v>27</v>
      </c>
      <c r="D3">
        <v>45000</v>
      </c>
      <c r="E3" s="5" t="s">
        <v>28</v>
      </c>
      <c r="F3" s="5" t="s">
        <v>29</v>
      </c>
      <c r="G3" s="5" t="s">
        <v>30</v>
      </c>
      <c r="H3" s="5" t="s">
        <v>21</v>
      </c>
      <c r="I3" s="6">
        <v>45838.582418518519</v>
      </c>
      <c r="J3" t="b">
        <v>0</v>
      </c>
      <c r="K3">
        <v>0.1125</v>
      </c>
    </row>
    <row r="4" spans="1:11" x14ac:dyDescent="0.35">
      <c r="A4">
        <v>3</v>
      </c>
      <c r="B4" s="5" t="s">
        <v>11</v>
      </c>
      <c r="C4" s="5" t="s">
        <v>31</v>
      </c>
      <c r="D4">
        <v>45000</v>
      </c>
      <c r="E4" s="5" t="s">
        <v>32</v>
      </c>
      <c r="F4" s="5" t="s">
        <v>33</v>
      </c>
      <c r="G4" s="5" t="s">
        <v>34</v>
      </c>
      <c r="H4" s="5" t="s">
        <v>21</v>
      </c>
      <c r="I4" s="6">
        <v>45838.585578321756</v>
      </c>
      <c r="J4" t="b">
        <v>0</v>
      </c>
      <c r="K4">
        <v>0.1268</v>
      </c>
    </row>
    <row r="5" spans="1:11" x14ac:dyDescent="0.35">
      <c r="A5">
        <v>4</v>
      </c>
      <c r="B5" s="5" t="s">
        <v>11</v>
      </c>
      <c r="C5" s="5" t="s">
        <v>35</v>
      </c>
      <c r="D5">
        <v>45000</v>
      </c>
      <c r="E5" s="5" t="s">
        <v>36</v>
      </c>
      <c r="F5" s="5" t="s">
        <v>37</v>
      </c>
      <c r="G5" s="5" t="s">
        <v>20</v>
      </c>
      <c r="H5" s="5" t="s">
        <v>21</v>
      </c>
      <c r="I5" s="6">
        <v>45838.586669131946</v>
      </c>
      <c r="J5" t="b">
        <v>0</v>
      </c>
      <c r="K5">
        <v>0.1452</v>
      </c>
    </row>
    <row r="6" spans="1:11" x14ac:dyDescent="0.35">
      <c r="A6">
        <v>5</v>
      </c>
      <c r="B6" s="5" t="s">
        <v>38</v>
      </c>
      <c r="C6" s="5" t="s">
        <v>39</v>
      </c>
      <c r="D6">
        <v>30000</v>
      </c>
      <c r="E6" s="5" t="s">
        <v>40</v>
      </c>
      <c r="F6" s="5" t="s">
        <v>41</v>
      </c>
      <c r="G6" s="5" t="s">
        <v>20</v>
      </c>
      <c r="H6" s="5" t="s">
        <v>21</v>
      </c>
      <c r="I6" s="6">
        <v>45838.588774768519</v>
      </c>
      <c r="J6" t="b">
        <v>1</v>
      </c>
      <c r="K6">
        <v>9.5899999999999999E-2</v>
      </c>
    </row>
    <row r="7" spans="1:11" x14ac:dyDescent="0.35">
      <c r="A7">
        <v>6</v>
      </c>
      <c r="B7" s="5" t="s">
        <v>11</v>
      </c>
      <c r="C7" s="5" t="s">
        <v>42</v>
      </c>
      <c r="D7">
        <v>2000</v>
      </c>
      <c r="E7" s="5" t="s">
        <v>43</v>
      </c>
      <c r="F7" s="5" t="s">
        <v>44</v>
      </c>
      <c r="G7" s="5" t="s">
        <v>34</v>
      </c>
      <c r="H7" s="5" t="s">
        <v>21</v>
      </c>
      <c r="I7" s="6">
        <v>45843.85137369213</v>
      </c>
      <c r="J7" t="b">
        <v>1</v>
      </c>
      <c r="K7">
        <v>0.2442</v>
      </c>
    </row>
    <row r="8" spans="1:11" x14ac:dyDescent="0.35">
      <c r="A8">
        <v>7</v>
      </c>
      <c r="B8" s="5" t="s">
        <v>58</v>
      </c>
      <c r="C8" s="5" t="s">
        <v>59</v>
      </c>
      <c r="D8">
        <v>3000</v>
      </c>
      <c r="E8" s="5" t="s">
        <v>60</v>
      </c>
      <c r="F8" s="5" t="s">
        <v>61</v>
      </c>
      <c r="G8" s="5" t="s">
        <v>25</v>
      </c>
      <c r="H8" s="5" t="s">
        <v>21</v>
      </c>
      <c r="I8" s="6">
        <v>45850.00401527778</v>
      </c>
      <c r="J8" t="b">
        <v>1</v>
      </c>
      <c r="K8">
        <v>0.2387</v>
      </c>
    </row>
    <row r="9" spans="1:11" x14ac:dyDescent="0.35">
      <c r="A9">
        <v>8</v>
      </c>
      <c r="B9" s="5" t="s">
        <v>66</v>
      </c>
      <c r="C9" s="5" t="s">
        <v>67</v>
      </c>
      <c r="D9">
        <v>2000</v>
      </c>
      <c r="E9" s="5" t="s">
        <v>68</v>
      </c>
      <c r="F9" s="5" t="s">
        <v>69</v>
      </c>
      <c r="G9" s="5" t="s">
        <v>25</v>
      </c>
      <c r="H9" s="5" t="s">
        <v>21</v>
      </c>
      <c r="I9" s="6">
        <v>45850.045902627317</v>
      </c>
      <c r="J9" t="b">
        <v>1</v>
      </c>
      <c r="K9">
        <v>0.17480000000000001</v>
      </c>
    </row>
    <row r="10" spans="1:11" x14ac:dyDescent="0.35">
      <c r="A10">
        <v>9</v>
      </c>
      <c r="B10" s="5" t="s">
        <v>72</v>
      </c>
      <c r="C10" s="5" t="s">
        <v>70</v>
      </c>
      <c r="D10">
        <v>3000</v>
      </c>
      <c r="E10" s="5" t="s">
        <v>71</v>
      </c>
      <c r="F10" s="5" t="s">
        <v>73</v>
      </c>
      <c r="G10" s="5" t="s">
        <v>34</v>
      </c>
      <c r="H10" s="5" t="s">
        <v>21</v>
      </c>
      <c r="I10" s="6">
        <v>45850.520090312501</v>
      </c>
      <c r="J10" t="b">
        <v>1</v>
      </c>
      <c r="K10">
        <v>0.21329999999999999</v>
      </c>
    </row>
    <row r="11" spans="1:11" x14ac:dyDescent="0.35">
      <c r="A11">
        <v>10</v>
      </c>
      <c r="B11" s="5" t="s">
        <v>72</v>
      </c>
      <c r="C11" s="5" t="s">
        <v>74</v>
      </c>
      <c r="D11">
        <v>2000</v>
      </c>
      <c r="E11" s="5" t="s">
        <v>75</v>
      </c>
      <c r="F11" s="5" t="s">
        <v>76</v>
      </c>
      <c r="G11" s="5" t="s">
        <v>30</v>
      </c>
      <c r="H11" s="5" t="s">
        <v>21</v>
      </c>
      <c r="I11" s="6">
        <v>45850.526416354165</v>
      </c>
      <c r="J11" t="b">
        <v>1</v>
      </c>
      <c r="K11">
        <v>0.20280000000000001</v>
      </c>
    </row>
    <row r="12" spans="1:11" x14ac:dyDescent="0.35">
      <c r="A12">
        <v>11</v>
      </c>
      <c r="B12" s="5" t="s">
        <v>72</v>
      </c>
      <c r="C12" s="5" t="s">
        <v>77</v>
      </c>
      <c r="D12">
        <v>50000</v>
      </c>
      <c r="E12" s="5" t="s">
        <v>28</v>
      </c>
      <c r="F12" s="5" t="s">
        <v>79</v>
      </c>
      <c r="G12" s="5" t="s">
        <v>20</v>
      </c>
      <c r="H12" s="5" t="s">
        <v>21</v>
      </c>
      <c r="I12" s="6">
        <v>45850.55420859954</v>
      </c>
      <c r="J12" t="b">
        <v>0</v>
      </c>
      <c r="K12">
        <v>0.13619999999999999</v>
      </c>
    </row>
    <row r="13" spans="1:11" x14ac:dyDescent="0.35">
      <c r="A13">
        <v>12</v>
      </c>
      <c r="B13" s="5" t="s">
        <v>72</v>
      </c>
      <c r="C13" s="5" t="s">
        <v>80</v>
      </c>
      <c r="D13">
        <v>100000</v>
      </c>
      <c r="E13" s="5" t="s">
        <v>78</v>
      </c>
      <c r="F13" s="5" t="s">
        <v>81</v>
      </c>
      <c r="G13" s="5" t="s">
        <v>34</v>
      </c>
      <c r="H13" s="5" t="s">
        <v>21</v>
      </c>
      <c r="I13" s="6">
        <v>45850.556742326386</v>
      </c>
      <c r="J13" t="b">
        <v>1</v>
      </c>
      <c r="K13">
        <v>0.1933</v>
      </c>
    </row>
  </sheetData>
  <phoneticPr fontId="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EBF8F2-8867-4320-AECC-9564B5366313}">
  <sheetPr codeName="Sheet6"/>
  <dimension ref="A1:K9"/>
  <sheetViews>
    <sheetView workbookViewId="0"/>
  </sheetViews>
  <sheetFormatPr defaultRowHeight="14.5" x14ac:dyDescent="0.35"/>
  <cols>
    <col min="1" max="1" width="8.81640625" bestFit="1" customWidth="1"/>
    <col min="2" max="2" width="19.26953125" bestFit="1" customWidth="1"/>
    <col min="3" max="3" width="17.90625" bestFit="1" customWidth="1"/>
    <col min="4" max="4" width="9.90625" bestFit="1" customWidth="1"/>
    <col min="5" max="5" width="13.26953125" bestFit="1" customWidth="1"/>
    <col min="6" max="6" width="16.81640625" bestFit="1" customWidth="1"/>
    <col min="7" max="7" width="24.7265625" bestFit="1" customWidth="1"/>
    <col min="8" max="8" width="15.54296875" bestFit="1" customWidth="1"/>
    <col min="9" max="9" width="12.453125" bestFit="1" customWidth="1"/>
    <col min="10" max="10" width="10.1796875" bestFit="1" customWidth="1"/>
    <col min="11" max="11" width="8.54296875" customWidth="1"/>
  </cols>
  <sheetData>
    <row r="1" spans="1:11" x14ac:dyDescent="0.35">
      <c r="A1" t="s">
        <v>14</v>
      </c>
      <c r="B1" t="s">
        <v>6</v>
      </c>
      <c r="C1" t="s">
        <v>7</v>
      </c>
      <c r="D1" t="s">
        <v>2</v>
      </c>
      <c r="E1" t="s">
        <v>18</v>
      </c>
      <c r="F1" t="s">
        <v>19</v>
      </c>
      <c r="G1" t="s">
        <v>12</v>
      </c>
      <c r="H1" t="s">
        <v>8</v>
      </c>
      <c r="I1" t="s">
        <v>10</v>
      </c>
      <c r="J1" t="s">
        <v>3</v>
      </c>
      <c r="K1" t="s">
        <v>4</v>
      </c>
    </row>
    <row r="2" spans="1:11" x14ac:dyDescent="0.35">
      <c r="A2">
        <v>1</v>
      </c>
      <c r="B2" s="5" t="s">
        <v>11</v>
      </c>
      <c r="C2" s="5" t="s">
        <v>22</v>
      </c>
      <c r="D2">
        <v>30000</v>
      </c>
      <c r="E2" s="5" t="s">
        <v>23</v>
      </c>
      <c r="F2" s="5" t="s">
        <v>24</v>
      </c>
      <c r="G2" s="5" t="s">
        <v>15</v>
      </c>
      <c r="H2" s="6">
        <v>45838.579655173613</v>
      </c>
      <c r="I2">
        <v>0.1211</v>
      </c>
      <c r="J2" s="5"/>
      <c r="K2" s="5"/>
    </row>
    <row r="3" spans="1:11" x14ac:dyDescent="0.35">
      <c r="A3">
        <v>2</v>
      </c>
      <c r="B3" s="5" t="s">
        <v>38</v>
      </c>
      <c r="C3" s="5" t="s">
        <v>39</v>
      </c>
      <c r="D3">
        <v>30000</v>
      </c>
      <c r="E3" s="5" t="s">
        <v>40</v>
      </c>
      <c r="F3" s="5" t="s">
        <v>41</v>
      </c>
      <c r="G3" s="5" t="s">
        <v>15</v>
      </c>
      <c r="H3" s="6">
        <v>45838.588774768519</v>
      </c>
      <c r="I3">
        <v>9.5899999999999999E-2</v>
      </c>
      <c r="J3" s="5"/>
      <c r="K3" s="5"/>
    </row>
    <row r="4" spans="1:11" x14ac:dyDescent="0.35">
      <c r="A4">
        <v>3</v>
      </c>
      <c r="B4" s="5" t="s">
        <v>11</v>
      </c>
      <c r="C4" s="5" t="s">
        <v>42</v>
      </c>
      <c r="D4">
        <v>2000</v>
      </c>
      <c r="E4" s="5" t="s">
        <v>43</v>
      </c>
      <c r="F4" s="5" t="s">
        <v>44</v>
      </c>
      <c r="G4" s="5" t="s">
        <v>15</v>
      </c>
      <c r="H4" s="6">
        <v>45843.85137369213</v>
      </c>
      <c r="I4">
        <v>0.2442</v>
      </c>
      <c r="J4" s="5"/>
      <c r="K4" s="5"/>
    </row>
    <row r="5" spans="1:11" x14ac:dyDescent="0.35">
      <c r="A5">
        <v>4</v>
      </c>
      <c r="B5" s="5" t="s">
        <v>58</v>
      </c>
      <c r="C5" s="5" t="s">
        <v>59</v>
      </c>
      <c r="D5">
        <v>3000</v>
      </c>
      <c r="E5" s="5" t="s">
        <v>60</v>
      </c>
      <c r="F5" s="5" t="s">
        <v>61</v>
      </c>
      <c r="G5" s="5" t="s">
        <v>15</v>
      </c>
      <c r="H5" s="6">
        <v>45850.00401527778</v>
      </c>
      <c r="I5">
        <v>0.2387</v>
      </c>
      <c r="J5" s="5"/>
      <c r="K5" s="5"/>
    </row>
    <row r="6" spans="1:11" x14ac:dyDescent="0.35">
      <c r="A6">
        <v>5</v>
      </c>
      <c r="B6" s="5" t="s">
        <v>66</v>
      </c>
      <c r="C6" s="5" t="s">
        <v>67</v>
      </c>
      <c r="D6">
        <v>2000</v>
      </c>
      <c r="E6" s="5" t="s">
        <v>68</v>
      </c>
      <c r="F6" s="5" t="s">
        <v>69</v>
      </c>
      <c r="G6" s="5" t="s">
        <v>15</v>
      </c>
      <c r="H6" s="6">
        <v>45850.045902627317</v>
      </c>
      <c r="I6">
        <v>0.17480000000000001</v>
      </c>
      <c r="J6" s="5"/>
      <c r="K6" s="5"/>
    </row>
    <row r="7" spans="1:11" x14ac:dyDescent="0.35">
      <c r="A7">
        <v>6</v>
      </c>
      <c r="B7" s="5" t="s">
        <v>72</v>
      </c>
      <c r="C7" s="5" t="s">
        <v>70</v>
      </c>
      <c r="D7">
        <v>3000</v>
      </c>
      <c r="E7" s="5" t="s">
        <v>71</v>
      </c>
      <c r="F7" s="5" t="s">
        <v>73</v>
      </c>
      <c r="G7" s="5" t="s">
        <v>15</v>
      </c>
      <c r="H7" s="6">
        <v>45850.520090312501</v>
      </c>
      <c r="I7">
        <v>0.21329999999999999</v>
      </c>
      <c r="J7" s="5"/>
      <c r="K7" s="5"/>
    </row>
    <row r="8" spans="1:11" x14ac:dyDescent="0.35">
      <c r="A8">
        <v>7</v>
      </c>
      <c r="B8" s="5" t="s">
        <v>72</v>
      </c>
      <c r="C8" s="5" t="s">
        <v>74</v>
      </c>
      <c r="D8">
        <v>2000</v>
      </c>
      <c r="E8" s="5" t="s">
        <v>75</v>
      </c>
      <c r="F8" s="5" t="s">
        <v>76</v>
      </c>
      <c r="G8" s="5" t="s">
        <v>15</v>
      </c>
      <c r="H8" s="6">
        <v>45850.526416354165</v>
      </c>
      <c r="I8">
        <v>0.20280000000000001</v>
      </c>
      <c r="J8" s="5"/>
      <c r="K8" s="5"/>
    </row>
    <row r="9" spans="1:11" x14ac:dyDescent="0.35">
      <c r="A9">
        <v>8</v>
      </c>
      <c r="B9" s="5" t="s">
        <v>72</v>
      </c>
      <c r="C9" s="5" t="s">
        <v>80</v>
      </c>
      <c r="D9">
        <v>100000</v>
      </c>
      <c r="E9" s="5" t="s">
        <v>78</v>
      </c>
      <c r="F9" s="5" t="s">
        <v>81</v>
      </c>
      <c r="G9" s="5" t="s">
        <v>15</v>
      </c>
      <c r="H9" s="6">
        <v>45850.556742326386</v>
      </c>
      <c r="I9">
        <v>0.1933</v>
      </c>
      <c r="J9" s="5"/>
      <c r="K9" s="5"/>
    </row>
  </sheetData>
  <phoneticPr fontId="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BAD7F-84A3-4EA6-9011-047EB58EAF01}">
  <dimension ref="A1:O39"/>
  <sheetViews>
    <sheetView workbookViewId="0">
      <selection activeCell="N7" sqref="N7"/>
    </sheetView>
  </sheetViews>
  <sheetFormatPr defaultRowHeight="14.5" x14ac:dyDescent="0.35"/>
  <cols>
    <col min="1" max="1" width="10.7265625" bestFit="1" customWidth="1"/>
    <col min="2" max="2" width="16.54296875" bestFit="1" customWidth="1"/>
    <col min="3" max="3" width="6" bestFit="1" customWidth="1"/>
    <col min="4" max="4" width="19.26953125" bestFit="1" customWidth="1"/>
    <col min="5" max="5" width="16.54296875" bestFit="1" customWidth="1"/>
    <col min="6" max="6" width="14" bestFit="1" customWidth="1"/>
    <col min="8" max="8" width="15.54296875" bestFit="1" customWidth="1"/>
    <col min="9" max="9" width="14" bestFit="1" customWidth="1"/>
    <col min="10" max="10" width="17.54296875" bestFit="1" customWidth="1"/>
    <col min="12" max="12" width="17.6328125" bestFit="1" customWidth="1"/>
  </cols>
  <sheetData>
    <row r="1" spans="1:15" ht="33.5" customHeight="1" x14ac:dyDescent="0.35">
      <c r="F1" s="14" t="s">
        <v>82</v>
      </c>
      <c r="H1" t="s">
        <v>63</v>
      </c>
      <c r="J1" t="s">
        <v>64</v>
      </c>
      <c r="L1" t="s">
        <v>65</v>
      </c>
    </row>
    <row r="2" spans="1:15" x14ac:dyDescent="0.35">
      <c r="A2" s="13" t="s">
        <v>48</v>
      </c>
      <c r="B2" s="13"/>
      <c r="D2" s="13" t="s">
        <v>50</v>
      </c>
      <c r="E2" s="13"/>
      <c r="F2" s="14"/>
      <c r="H2">
        <f>COUNT(Transactions[Id])</f>
        <v>12</v>
      </c>
      <c r="J2">
        <f>AVERAGE(Transactions[FraudScore])</f>
        <v>0.16706666666666667</v>
      </c>
      <c r="L2">
        <f>SUM(FraudAlerts[Amount])</f>
        <v>172000</v>
      </c>
    </row>
    <row r="3" spans="1:15" x14ac:dyDescent="0.35">
      <c r="A3" s="7" t="s">
        <v>3</v>
      </c>
      <c r="B3" t="s">
        <v>45</v>
      </c>
      <c r="D3" s="7" t="s">
        <v>6</v>
      </c>
      <c r="E3" t="s">
        <v>45</v>
      </c>
      <c r="F3" s="14"/>
    </row>
    <row r="4" spans="1:15" x14ac:dyDescent="0.35">
      <c r="A4" s="8" t="s">
        <v>25</v>
      </c>
      <c r="B4" s="5">
        <v>0.53459999999999996</v>
      </c>
      <c r="D4" s="8" t="s">
        <v>11</v>
      </c>
      <c r="E4" s="5">
        <v>0.63729999999999998</v>
      </c>
      <c r="F4" s="9"/>
    </row>
    <row r="5" spans="1:15" x14ac:dyDescent="0.35">
      <c r="A5" s="8" t="s">
        <v>20</v>
      </c>
      <c r="B5" s="5">
        <v>0.37729999999999997</v>
      </c>
      <c r="D5" s="8" t="s">
        <v>38</v>
      </c>
      <c r="E5" s="5">
        <v>9.5899999999999999E-2</v>
      </c>
      <c r="F5" s="9"/>
    </row>
    <row r="6" spans="1:15" x14ac:dyDescent="0.35">
      <c r="A6" s="8" t="s">
        <v>30</v>
      </c>
      <c r="B6" s="5">
        <v>0.31530000000000002</v>
      </c>
      <c r="D6" s="8" t="s">
        <v>26</v>
      </c>
      <c r="E6" s="5">
        <v>0.1125</v>
      </c>
      <c r="F6" s="9"/>
      <c r="G6" s="9"/>
      <c r="H6" s="9"/>
      <c r="I6" s="9"/>
      <c r="J6" s="9"/>
      <c r="K6" s="9"/>
      <c r="L6" s="9"/>
      <c r="M6" s="9"/>
      <c r="N6" s="9"/>
      <c r="O6" s="9"/>
    </row>
    <row r="7" spans="1:15" x14ac:dyDescent="0.35">
      <c r="A7" s="8" t="s">
        <v>34</v>
      </c>
      <c r="B7" s="5">
        <v>0.58430000000000004</v>
      </c>
      <c r="D7" s="8" t="s">
        <v>58</v>
      </c>
      <c r="E7" s="5">
        <v>0.2387</v>
      </c>
      <c r="F7" s="9"/>
      <c r="G7" s="9"/>
      <c r="H7" s="9"/>
      <c r="I7" s="9"/>
      <c r="J7" s="9"/>
      <c r="K7" s="9"/>
      <c r="L7" s="9"/>
      <c r="M7" s="9"/>
      <c r="N7" s="9"/>
      <c r="O7" s="9"/>
    </row>
    <row r="8" spans="1:15" x14ac:dyDescent="0.35">
      <c r="A8" s="8" t="s">
        <v>46</v>
      </c>
      <c r="B8" s="5">
        <v>1.8114999999999999</v>
      </c>
      <c r="D8" s="8" t="s">
        <v>66</v>
      </c>
      <c r="E8" s="5">
        <v>0.17480000000000001</v>
      </c>
    </row>
    <row r="9" spans="1:15" x14ac:dyDescent="0.35">
      <c r="D9" s="8" t="s">
        <v>72</v>
      </c>
      <c r="E9" s="5">
        <v>0.55230000000000001</v>
      </c>
    </row>
    <row r="10" spans="1:15" x14ac:dyDescent="0.35">
      <c r="D10" s="8" t="s">
        <v>46</v>
      </c>
      <c r="E10" s="5">
        <v>1.8115000000000001</v>
      </c>
    </row>
    <row r="11" spans="1:15" ht="15.5" x14ac:dyDescent="0.35">
      <c r="A11" s="13" t="s">
        <v>49</v>
      </c>
      <c r="B11" s="13"/>
      <c r="D11" s="13" t="s">
        <v>55</v>
      </c>
      <c r="E11" s="13"/>
      <c r="F11" s="13"/>
      <c r="H11" s="15" t="s">
        <v>83</v>
      </c>
      <c r="I11" s="15"/>
    </row>
    <row r="12" spans="1:15" x14ac:dyDescent="0.35">
      <c r="A12" s="7" t="s">
        <v>3</v>
      </c>
      <c r="B12" t="s">
        <v>54</v>
      </c>
      <c r="D12" s="7" t="s">
        <v>3</v>
      </c>
      <c r="E12" t="s">
        <v>54</v>
      </c>
      <c r="F12" t="s">
        <v>51</v>
      </c>
      <c r="H12" s="7" t="s">
        <v>8</v>
      </c>
      <c r="I12" t="s">
        <v>51</v>
      </c>
    </row>
    <row r="13" spans="1:15" x14ac:dyDescent="0.35">
      <c r="A13" s="8" t="s">
        <v>25</v>
      </c>
      <c r="B13" s="5">
        <v>3</v>
      </c>
      <c r="D13" s="8" t="s">
        <v>25</v>
      </c>
      <c r="E13" s="5">
        <v>3</v>
      </c>
      <c r="F13" s="5">
        <v>35000</v>
      </c>
      <c r="H13" s="11">
        <v>45838.579652777778</v>
      </c>
      <c r="I13" s="5">
        <v>30000</v>
      </c>
    </row>
    <row r="14" spans="1:15" x14ac:dyDescent="0.35">
      <c r="A14" s="8" t="s">
        <v>20</v>
      </c>
      <c r="B14" s="5">
        <v>3</v>
      </c>
      <c r="D14" s="8" t="s">
        <v>20</v>
      </c>
      <c r="E14" s="5">
        <v>3</v>
      </c>
      <c r="F14" s="5">
        <v>125000</v>
      </c>
      <c r="H14" s="11">
        <v>45838.582418981481</v>
      </c>
      <c r="I14" s="5">
        <v>45000</v>
      </c>
    </row>
    <row r="15" spans="1:15" x14ac:dyDescent="0.35">
      <c r="A15" s="8" t="s">
        <v>30</v>
      </c>
      <c r="B15" s="5">
        <v>2</v>
      </c>
      <c r="D15" s="8" t="s">
        <v>30</v>
      </c>
      <c r="E15" s="5">
        <v>2</v>
      </c>
      <c r="F15" s="5">
        <v>47000</v>
      </c>
      <c r="H15" s="11">
        <v>45838.585578703707</v>
      </c>
      <c r="I15" s="5">
        <v>45000</v>
      </c>
    </row>
    <row r="16" spans="1:15" x14ac:dyDescent="0.35">
      <c r="A16" s="8" t="s">
        <v>34</v>
      </c>
      <c r="B16" s="5">
        <v>3</v>
      </c>
      <c r="D16" s="8" t="s">
        <v>34</v>
      </c>
      <c r="E16" s="5">
        <v>3</v>
      </c>
      <c r="F16" s="5">
        <v>50000</v>
      </c>
      <c r="H16" s="11">
        <v>45838.58666666667</v>
      </c>
      <c r="I16" s="5">
        <v>45000</v>
      </c>
    </row>
    <row r="17" spans="1:9" x14ac:dyDescent="0.35">
      <c r="A17" s="8" t="s">
        <v>46</v>
      </c>
      <c r="B17" s="5">
        <v>11</v>
      </c>
      <c r="D17" s="8" t="s">
        <v>46</v>
      </c>
      <c r="E17" s="5">
        <v>11</v>
      </c>
      <c r="F17" s="5">
        <v>257000</v>
      </c>
      <c r="H17" s="11">
        <v>45838.588773148149</v>
      </c>
      <c r="I17" s="5">
        <v>30000</v>
      </c>
    </row>
    <row r="18" spans="1:9" x14ac:dyDescent="0.35">
      <c r="H18" s="11">
        <v>45843.851377314815</v>
      </c>
      <c r="I18" s="5">
        <v>2000</v>
      </c>
    </row>
    <row r="19" spans="1:9" x14ac:dyDescent="0.35">
      <c r="H19" s="11">
        <v>45850.004016203704</v>
      </c>
      <c r="I19" s="5">
        <v>3000</v>
      </c>
    </row>
    <row r="20" spans="1:9" x14ac:dyDescent="0.35">
      <c r="H20" s="11">
        <v>45850.045902777776</v>
      </c>
      <c r="I20" s="5">
        <v>2000</v>
      </c>
    </row>
    <row r="21" spans="1:9" x14ac:dyDescent="0.35">
      <c r="H21" s="11">
        <v>45850.520092592589</v>
      </c>
      <c r="I21" s="5">
        <v>3000</v>
      </c>
    </row>
    <row r="22" spans="1:9" x14ac:dyDescent="0.35">
      <c r="A22" s="13" t="s">
        <v>56</v>
      </c>
      <c r="B22" s="13"/>
      <c r="C22" s="13"/>
      <c r="D22" s="13"/>
      <c r="E22" s="13"/>
      <c r="F22" s="13"/>
      <c r="H22" s="11">
        <v>45850.526412037034</v>
      </c>
      <c r="I22" s="5">
        <v>2000</v>
      </c>
    </row>
    <row r="23" spans="1:9" x14ac:dyDescent="0.35">
      <c r="A23" s="7" t="s">
        <v>47</v>
      </c>
      <c r="B23" s="7" t="s">
        <v>3</v>
      </c>
      <c r="H23" s="11">
        <v>45850.554212962961</v>
      </c>
      <c r="I23" s="5">
        <v>50000</v>
      </c>
    </row>
    <row r="24" spans="1:9" x14ac:dyDescent="0.35">
      <c r="A24" s="7" t="s">
        <v>9</v>
      </c>
      <c r="B24" t="s">
        <v>25</v>
      </c>
      <c r="C24" t="s">
        <v>20</v>
      </c>
      <c r="D24" t="s">
        <v>30</v>
      </c>
      <c r="E24" t="s">
        <v>34</v>
      </c>
      <c r="F24" t="s">
        <v>46</v>
      </c>
      <c r="H24" s="11" t="s">
        <v>46</v>
      </c>
      <c r="I24" s="5">
        <v>257000</v>
      </c>
    </row>
    <row r="25" spans="1:9" x14ac:dyDescent="0.35">
      <c r="A25" s="8" t="s">
        <v>52</v>
      </c>
      <c r="B25" s="5"/>
      <c r="C25" s="5">
        <v>2</v>
      </c>
      <c r="D25" s="5">
        <v>1</v>
      </c>
      <c r="E25" s="5">
        <v>1</v>
      </c>
      <c r="F25" s="5">
        <v>4</v>
      </c>
    </row>
    <row r="26" spans="1:9" x14ac:dyDescent="0.35">
      <c r="A26" s="8" t="s">
        <v>53</v>
      </c>
      <c r="B26" s="5">
        <v>3</v>
      </c>
      <c r="C26" s="5">
        <v>1</v>
      </c>
      <c r="D26" s="5">
        <v>1</v>
      </c>
      <c r="E26" s="5">
        <v>2</v>
      </c>
      <c r="F26" s="5">
        <v>7</v>
      </c>
    </row>
    <row r="27" spans="1:9" x14ac:dyDescent="0.35">
      <c r="A27" s="8" t="s">
        <v>46</v>
      </c>
      <c r="B27" s="5">
        <v>3</v>
      </c>
      <c r="C27" s="5">
        <v>3</v>
      </c>
      <c r="D27" s="5">
        <v>2</v>
      </c>
      <c r="E27" s="5">
        <v>3</v>
      </c>
      <c r="F27" s="5">
        <v>11</v>
      </c>
    </row>
    <row r="31" spans="1:9" x14ac:dyDescent="0.35">
      <c r="A31" s="13" t="s">
        <v>57</v>
      </c>
      <c r="B31" s="13"/>
      <c r="C31" s="13"/>
      <c r="D31" s="13"/>
    </row>
    <row r="32" spans="1:9" x14ac:dyDescent="0.35">
      <c r="A32" s="7" t="s">
        <v>45</v>
      </c>
      <c r="B32" s="7" t="s">
        <v>2</v>
      </c>
    </row>
    <row r="33" spans="1:5" x14ac:dyDescent="0.35">
      <c r="A33" s="7" t="s">
        <v>6</v>
      </c>
      <c r="B33">
        <v>2000</v>
      </c>
      <c r="C33">
        <v>30000</v>
      </c>
      <c r="D33">
        <v>3000</v>
      </c>
      <c r="E33" t="s">
        <v>46</v>
      </c>
    </row>
    <row r="34" spans="1:5" x14ac:dyDescent="0.35">
      <c r="A34" s="8" t="s">
        <v>11</v>
      </c>
      <c r="B34" s="5">
        <v>0.2442</v>
      </c>
      <c r="C34" s="5">
        <v>0.1211</v>
      </c>
      <c r="D34" s="5"/>
      <c r="E34" s="5">
        <v>0.36530000000000001</v>
      </c>
    </row>
    <row r="35" spans="1:5" x14ac:dyDescent="0.35">
      <c r="A35" s="8" t="s">
        <v>38</v>
      </c>
      <c r="B35" s="5"/>
      <c r="C35" s="5">
        <v>9.5899999999999999E-2</v>
      </c>
      <c r="D35" s="5"/>
      <c r="E35" s="5">
        <v>9.5899999999999999E-2</v>
      </c>
    </row>
    <row r="36" spans="1:5" x14ac:dyDescent="0.35">
      <c r="A36" s="8" t="s">
        <v>58</v>
      </c>
      <c r="B36" s="5"/>
      <c r="C36" s="5"/>
      <c r="D36" s="5">
        <v>0.2387</v>
      </c>
      <c r="E36" s="5">
        <v>0.2387</v>
      </c>
    </row>
    <row r="37" spans="1:5" x14ac:dyDescent="0.35">
      <c r="A37" s="8" t="s">
        <v>66</v>
      </c>
      <c r="B37" s="5">
        <v>0.17480000000000001</v>
      </c>
      <c r="C37" s="5"/>
      <c r="D37" s="5"/>
      <c r="E37" s="5">
        <v>0.17480000000000001</v>
      </c>
    </row>
    <row r="38" spans="1:5" x14ac:dyDescent="0.35">
      <c r="A38" s="8" t="s">
        <v>72</v>
      </c>
      <c r="B38" s="5">
        <v>0.20280000000000001</v>
      </c>
      <c r="C38" s="5"/>
      <c r="D38" s="5">
        <v>0.21329999999999999</v>
      </c>
      <c r="E38" s="5">
        <v>0.41610000000000003</v>
      </c>
    </row>
    <row r="39" spans="1:5" x14ac:dyDescent="0.35">
      <c r="A39" s="8" t="s">
        <v>46</v>
      </c>
      <c r="B39" s="5">
        <v>0.62180000000000002</v>
      </c>
      <c r="C39" s="5">
        <v>0.217</v>
      </c>
      <c r="D39" s="5">
        <v>0.45199999999999996</v>
      </c>
      <c r="E39" s="5">
        <v>1.2907999999999999</v>
      </c>
    </row>
  </sheetData>
  <mergeCells count="8">
    <mergeCell ref="H11:I11"/>
    <mergeCell ref="A31:D31"/>
    <mergeCell ref="A2:B2"/>
    <mergeCell ref="D2:E2"/>
    <mergeCell ref="A11:B11"/>
    <mergeCell ref="D11:F11"/>
    <mergeCell ref="A22:F22"/>
    <mergeCell ref="F1:F3"/>
  </mergeCells>
  <pageMargins left="0.7" right="0.7" top="0.75" bottom="0.75" header="0.3" footer="0.3"/>
  <pageSetup orientation="portrait" r:id="rId8"/>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59F7EA-7EEC-43C5-AC36-22A01ECCD788}">
  <dimension ref="E7:G19"/>
  <sheetViews>
    <sheetView showGridLines="0" tabSelected="1" workbookViewId="0">
      <selection activeCell="N7" sqref="N7"/>
    </sheetView>
  </sheetViews>
  <sheetFormatPr defaultRowHeight="14.5" x14ac:dyDescent="0.35"/>
  <sheetData>
    <row r="7" spans="5:5" ht="28.5" x14ac:dyDescent="0.35">
      <c r="E7" s="10"/>
    </row>
    <row r="19" spans="7:7" x14ac:dyDescent="0.35">
      <c r="G19" t="s">
        <v>62</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8AD3DA-FC45-4059-8A7C-713F77EEC86C}">
  <dimension ref="A1"/>
  <sheetViews>
    <sheetView showGridLines="0" topLeftCell="D1" workbookViewId="0">
      <selection activeCell="N2" sqref="N2"/>
    </sheetView>
  </sheetViews>
  <sheetFormatPr defaultRowHeight="14.5" x14ac:dyDescent="0.3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E5335F2-0BE1-4575-8AF4-444066CC921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TransferForm</vt:lpstr>
      <vt:lpstr>Transactions</vt:lpstr>
      <vt:lpstr>FraudAlerts</vt:lpstr>
      <vt:lpstr>Crime_Detection Analysis</vt:lpstr>
      <vt:lpstr>Crime_Detection Dashboard</vt:lpstr>
      <vt:lpstr>Crime_Detection Dashboard2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Glory Chiamaka Emeh</dc:creator>
  <cp:lastModifiedBy>Glory Chiamaka Emeh</cp:lastModifiedBy>
  <dcterms:created xsi:type="dcterms:W3CDTF">2025-06-30T01:53:14Z</dcterms:created>
  <dcterms:modified xsi:type="dcterms:W3CDTF">2025-07-12T16:16:16Z</dcterms:modified>
</cp:coreProperties>
</file>